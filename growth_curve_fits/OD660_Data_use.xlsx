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Other_folks\r_palustris_LBP_ML-main\Data_From_Mark\"/>
    </mc:Choice>
  </mc:AlternateContent>
  <xr:revisionPtr revIDLastSave="0" documentId="13_ncr:1_{AAE226F4-50EE-47CC-B347-B596CF0F06E3}" xr6:coauthVersionLast="47" xr6:coauthVersionMax="47" xr10:uidLastSave="{00000000-0000-0000-0000-000000000000}"/>
  <bookViews>
    <workbookView xWindow="-120" yWindow="-120" windowWidth="29040" windowHeight="15990" activeTab="2" xr2:uid="{FC6AD396-E3B4-4A0E-B838-5CB7303C5FA2}"/>
  </bookViews>
  <sheets>
    <sheet name="Growth Stats" sheetId="1" r:id="rId1"/>
    <sheet name="Longitudinal_Data" sheetId="2" r:id="rId2"/>
    <sheet name="Longitudinal_Data_KD" sheetId="3" r:id="rId3"/>
  </sheets>
  <definedNames>
    <definedName name="_xlnm._FilterDatabase" localSheetId="1" hidden="1">Longitudinal_Data!$A$1:$E$655</definedName>
    <definedName name="_xlnm._FilterDatabase" localSheetId="2" hidden="1">Longitudinal_Data_KD!$A$1:$E$67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1" i="3" l="1"/>
  <c r="D392" i="3" s="1"/>
  <c r="D393" i="3" s="1"/>
  <c r="D394" i="3" s="1"/>
  <c r="D395" i="3" s="1"/>
  <c r="D396" i="3" s="1"/>
  <c r="D382" i="3"/>
  <c r="D383" i="3" s="1"/>
  <c r="D384" i="3" s="1"/>
  <c r="D385" i="3" s="1"/>
  <c r="D386" i="3" s="1"/>
  <c r="D387" i="3" s="1"/>
  <c r="D373" i="3"/>
  <c r="D374" i="3" s="1"/>
  <c r="D375" i="3" s="1"/>
  <c r="D376" i="3" s="1"/>
  <c r="D377" i="3" s="1"/>
  <c r="D378" i="3" s="1"/>
  <c r="D364" i="3"/>
  <c r="D365" i="3" s="1"/>
  <c r="D366" i="3" s="1"/>
  <c r="D367" i="3" s="1"/>
  <c r="D368" i="3" s="1"/>
  <c r="D369" i="3" s="1"/>
  <c r="D355" i="3"/>
  <c r="D356" i="3" s="1"/>
  <c r="D357" i="3" s="1"/>
  <c r="D358" i="3" s="1"/>
  <c r="D359" i="3" s="1"/>
  <c r="D360" i="3" s="1"/>
  <c r="D346" i="3"/>
  <c r="D347" i="3" s="1"/>
  <c r="D348" i="3" s="1"/>
  <c r="D349" i="3" s="1"/>
  <c r="D350" i="3" s="1"/>
  <c r="D351" i="3" s="1"/>
  <c r="D337" i="3"/>
  <c r="D338" i="3" s="1"/>
  <c r="D339" i="3" s="1"/>
  <c r="D340" i="3" s="1"/>
  <c r="D341" i="3" s="1"/>
  <c r="D342" i="3" s="1"/>
  <c r="D328" i="3"/>
  <c r="D329" i="3" s="1"/>
  <c r="D330" i="3" s="1"/>
  <c r="D331" i="3" s="1"/>
  <c r="D332" i="3" s="1"/>
  <c r="D333" i="3" s="1"/>
  <c r="D319" i="3"/>
  <c r="D320" i="3" s="1"/>
  <c r="D321" i="3" s="1"/>
  <c r="D322" i="3" s="1"/>
  <c r="D323" i="3" s="1"/>
  <c r="D324" i="3" s="1"/>
  <c r="D310" i="3"/>
  <c r="D311" i="3" s="1"/>
  <c r="D312" i="3" s="1"/>
  <c r="D313" i="3" s="1"/>
  <c r="D314" i="3" s="1"/>
  <c r="D315" i="3" s="1"/>
  <c r="D301" i="3"/>
  <c r="D302" i="3" s="1"/>
  <c r="D303" i="3" s="1"/>
  <c r="D304" i="3" s="1"/>
  <c r="D305" i="3" s="1"/>
  <c r="D306" i="3" s="1"/>
  <c r="D292" i="3"/>
  <c r="D293" i="3" s="1"/>
  <c r="D294" i="3" s="1"/>
  <c r="D295" i="3" s="1"/>
  <c r="D296" i="3" s="1"/>
  <c r="D297" i="3" s="1"/>
  <c r="D283" i="3"/>
  <c r="D284" i="3" s="1"/>
  <c r="D285" i="3" s="1"/>
  <c r="D286" i="3" s="1"/>
  <c r="D287" i="3" s="1"/>
  <c r="D288" i="3" s="1"/>
  <c r="D274" i="3"/>
  <c r="D275" i="3" s="1"/>
  <c r="D276" i="3" s="1"/>
  <c r="D277" i="3" s="1"/>
  <c r="D278" i="3" s="1"/>
  <c r="D279" i="3" s="1"/>
  <c r="D265" i="3"/>
  <c r="D266" i="3" s="1"/>
  <c r="D267" i="3" s="1"/>
  <c r="D268" i="3" s="1"/>
  <c r="D269" i="3" s="1"/>
  <c r="D270" i="3" s="1"/>
  <c r="D256" i="3"/>
  <c r="D257" i="3" s="1"/>
  <c r="D258" i="3" s="1"/>
  <c r="D259" i="3" s="1"/>
  <c r="D260" i="3" s="1"/>
  <c r="D261" i="3" s="1"/>
  <c r="D247" i="3"/>
  <c r="D248" i="3" s="1"/>
  <c r="D249" i="3" s="1"/>
  <c r="D250" i="3" s="1"/>
  <c r="D251" i="3" s="1"/>
  <c r="D252" i="3" s="1"/>
  <c r="D238" i="3"/>
  <c r="D239" i="3" s="1"/>
  <c r="D240" i="3" s="1"/>
  <c r="D241" i="3" s="1"/>
  <c r="D242" i="3" s="1"/>
  <c r="D243" i="3" s="1"/>
  <c r="D229" i="3"/>
  <c r="D230" i="3" s="1"/>
  <c r="D231" i="3" s="1"/>
  <c r="D232" i="3" s="1"/>
  <c r="D233" i="3" s="1"/>
  <c r="D234" i="3" s="1"/>
  <c r="D220" i="3"/>
  <c r="D221" i="3" s="1"/>
  <c r="D222" i="3" s="1"/>
  <c r="D223" i="3" s="1"/>
  <c r="D224" i="3" s="1"/>
  <c r="D225" i="3" s="1"/>
  <c r="D211" i="3"/>
  <c r="D212" i="3" s="1"/>
  <c r="D213" i="3" s="1"/>
  <c r="D214" i="3" s="1"/>
  <c r="D215" i="3" s="1"/>
  <c r="D216" i="3" s="1"/>
  <c r="D202" i="3"/>
  <c r="D203" i="3" s="1"/>
  <c r="D204" i="3" s="1"/>
  <c r="D205" i="3" s="1"/>
  <c r="D206" i="3" s="1"/>
  <c r="D207" i="3" s="1"/>
  <c r="D193" i="3"/>
  <c r="D194" i="3" s="1"/>
  <c r="D195" i="3" s="1"/>
  <c r="D196" i="3" s="1"/>
  <c r="D197" i="3" s="1"/>
  <c r="D198" i="3" s="1"/>
  <c r="D184" i="3"/>
  <c r="D185" i="3" s="1"/>
  <c r="D186" i="3" s="1"/>
  <c r="D187" i="3" s="1"/>
  <c r="D188" i="3" s="1"/>
  <c r="D189" i="3" s="1"/>
  <c r="D175" i="3"/>
  <c r="D176" i="3" s="1"/>
  <c r="D177" i="3" s="1"/>
  <c r="D178" i="3" s="1"/>
  <c r="D179" i="3" s="1"/>
  <c r="D180" i="3" s="1"/>
  <c r="D166" i="3"/>
  <c r="D167" i="3" s="1"/>
  <c r="D168" i="3" s="1"/>
  <c r="D169" i="3" s="1"/>
  <c r="D170" i="3" s="1"/>
  <c r="D171" i="3" s="1"/>
  <c r="D157" i="3"/>
  <c r="D158" i="3" s="1"/>
  <c r="D159" i="3" s="1"/>
  <c r="D160" i="3" s="1"/>
  <c r="D161" i="3" s="1"/>
  <c r="D162" i="3" s="1"/>
  <c r="D148" i="3"/>
  <c r="D149" i="3" s="1"/>
  <c r="D150" i="3" s="1"/>
  <c r="D151" i="3" s="1"/>
  <c r="D152" i="3" s="1"/>
  <c r="D153" i="3" s="1"/>
  <c r="D139" i="3"/>
  <c r="D140" i="3" s="1"/>
  <c r="D141" i="3" s="1"/>
  <c r="D142" i="3" s="1"/>
  <c r="D143" i="3" s="1"/>
  <c r="D144" i="3" s="1"/>
  <c r="D130" i="3"/>
  <c r="D131" i="3" s="1"/>
  <c r="D132" i="3" s="1"/>
  <c r="D133" i="3" s="1"/>
  <c r="D134" i="3" s="1"/>
  <c r="D135" i="3" s="1"/>
  <c r="D121" i="3"/>
  <c r="D122" i="3" s="1"/>
  <c r="D123" i="3" s="1"/>
  <c r="D124" i="3" s="1"/>
  <c r="D125" i="3" s="1"/>
  <c r="D126" i="3" s="1"/>
  <c r="D112" i="3"/>
  <c r="D113" i="3" s="1"/>
  <c r="D114" i="3" s="1"/>
  <c r="D115" i="3" s="1"/>
  <c r="D116" i="3" s="1"/>
  <c r="D117" i="3" s="1"/>
  <c r="D104" i="3"/>
  <c r="D105" i="3" s="1"/>
  <c r="D106" i="3" s="1"/>
  <c r="D107" i="3" s="1"/>
  <c r="D108" i="3" s="1"/>
  <c r="D103" i="3"/>
  <c r="E101" i="1"/>
  <c r="I101" i="1"/>
  <c r="E102" i="1"/>
  <c r="E103" i="1" s="1"/>
  <c r="E104" i="1" s="1"/>
  <c r="E105" i="1" s="1"/>
  <c r="E106" i="1" s="1"/>
  <c r="A102" i="1"/>
  <c r="A103" i="1" s="1"/>
  <c r="A104" i="1" s="1"/>
  <c r="A105" i="1" s="1"/>
  <c r="A106" i="1" s="1"/>
  <c r="I102" i="1"/>
  <c r="I103" i="1" s="1"/>
  <c r="I104" i="1" s="1"/>
  <c r="I105" i="1" s="1"/>
  <c r="I106" i="1" s="1"/>
  <c r="A101" i="1"/>
  <c r="I88" i="1"/>
  <c r="I89" i="1" s="1"/>
  <c r="I90" i="1" s="1"/>
  <c r="I91" i="1" s="1"/>
  <c r="I92" i="1" s="1"/>
  <c r="I93" i="1" s="1"/>
  <c r="E88" i="1"/>
  <c r="E89" i="1"/>
  <c r="E90" i="1" s="1"/>
  <c r="E91" i="1" s="1"/>
  <c r="E92" i="1" s="1"/>
  <c r="E93" i="1" s="1"/>
  <c r="A88" i="1"/>
  <c r="A89" i="1" s="1"/>
  <c r="A90" i="1" s="1"/>
  <c r="A91" i="1" s="1"/>
  <c r="A92" i="1" s="1"/>
  <c r="A93" i="1" s="1"/>
  <c r="E76" i="1"/>
  <c r="E77" i="1" s="1"/>
  <c r="E78" i="1" s="1"/>
  <c r="E79" i="1" s="1"/>
  <c r="E80" i="1" s="1"/>
  <c r="E81" i="1" s="1"/>
  <c r="I76" i="1"/>
  <c r="I77" i="1" s="1"/>
  <c r="I78" i="1" s="1"/>
  <c r="I79" i="1" s="1"/>
  <c r="I80" i="1" s="1"/>
  <c r="I81" i="1" s="1"/>
  <c r="M76" i="1"/>
  <c r="M77" i="1" s="1"/>
  <c r="M78" i="1" s="1"/>
  <c r="M79" i="1" s="1"/>
  <c r="M80" i="1" s="1"/>
  <c r="M81" i="1" s="1"/>
  <c r="Q76" i="1"/>
  <c r="Q77" i="1" s="1"/>
  <c r="Q78" i="1" s="1"/>
  <c r="Q79" i="1" s="1"/>
  <c r="Q80" i="1" s="1"/>
  <c r="Q81" i="1" s="1"/>
  <c r="A76" i="1"/>
  <c r="A77" i="1" s="1"/>
  <c r="A78" i="1" s="1"/>
  <c r="A79" i="1" s="1"/>
  <c r="A80" i="1" s="1"/>
  <c r="A81" i="1" s="1"/>
  <c r="U48" i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E48" i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I49" i="1" l="1"/>
  <c r="I50" i="1" s="1"/>
  <c r="I51" i="1" s="1"/>
  <c r="I52" i="1" s="1"/>
  <c r="I53" i="1" s="1"/>
  <c r="I54" i="1" s="1"/>
  <c r="I55" i="1" s="1"/>
  <c r="U5" i="1" l="1"/>
  <c r="U6" i="1" s="1"/>
  <c r="U7" i="1" s="1"/>
  <c r="U8" i="1" s="1"/>
  <c r="U9" i="1" s="1"/>
  <c r="U10" i="1" s="1"/>
  <c r="U11" i="1" s="1"/>
  <c r="U12" i="1" s="1"/>
  <c r="M24" i="1"/>
  <c r="M25" i="1" s="1"/>
  <c r="M26" i="1" s="1"/>
  <c r="M27" i="1" l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</calcChain>
</file>

<file path=xl/sharedStrings.xml><?xml version="1.0" encoding="utf-8"?>
<sst xmlns="http://schemas.openxmlformats.org/spreadsheetml/2006/main" count="2367" uniqueCount="51">
  <si>
    <t>Acetate</t>
  </si>
  <si>
    <t>Aerobic</t>
  </si>
  <si>
    <t>Replicates (OD 660)</t>
  </si>
  <si>
    <t>Time (h)</t>
  </si>
  <si>
    <t>Ac+pCA</t>
  </si>
  <si>
    <t>Ac+Ca</t>
  </si>
  <si>
    <t>Ac+Sa</t>
  </si>
  <si>
    <t>Ac+Kl</t>
  </si>
  <si>
    <t>Ac+SF</t>
  </si>
  <si>
    <t>Anaerobic</t>
  </si>
  <si>
    <t>pC</t>
  </si>
  <si>
    <t>Ac+SA</t>
  </si>
  <si>
    <t>OD 660</t>
  </si>
  <si>
    <t>Condition</t>
  </si>
  <si>
    <t>Replicates</t>
  </si>
  <si>
    <t>Oxygen</t>
  </si>
  <si>
    <t>Ac</t>
  </si>
  <si>
    <t>Ac+CA</t>
  </si>
  <si>
    <t>Ac+KL</t>
  </si>
  <si>
    <t>CA</t>
  </si>
  <si>
    <t>SF</t>
  </si>
  <si>
    <t>Gene</t>
  </si>
  <si>
    <t>log2Fold</t>
  </si>
  <si>
    <t>SD</t>
  </si>
  <si>
    <t>RPA1786</t>
  </si>
  <si>
    <t>RPA4696</t>
  </si>
  <si>
    <t>RPA3717</t>
  </si>
  <si>
    <t>RPA4308</t>
  </si>
  <si>
    <t>Blank Cassette</t>
  </si>
  <si>
    <t>pC_an_RPA1786</t>
  </si>
  <si>
    <t>pC_an_RPA3717</t>
  </si>
  <si>
    <t>pC_an_RPA4696</t>
  </si>
  <si>
    <t>pC_an_RPA4308</t>
  </si>
  <si>
    <t>pC_an_Blank</t>
  </si>
  <si>
    <t>CA_an_RPA1786</t>
  </si>
  <si>
    <t>CA_an_RPA4696</t>
  </si>
  <si>
    <t>CA_an_Blank</t>
  </si>
  <si>
    <t>Ac_an_RPA1786</t>
  </si>
  <si>
    <t>Ac_an_RPA4696</t>
  </si>
  <si>
    <t>Ac_an_Blank</t>
  </si>
  <si>
    <t>Ac_Blank</t>
  </si>
  <si>
    <t>Ac_RPA1786</t>
  </si>
  <si>
    <t>Ac_RPA4696</t>
  </si>
  <si>
    <t>pC_RPA1786</t>
  </si>
  <si>
    <t>pC_RPA4696</t>
  </si>
  <si>
    <t>pC_RPA3717</t>
  </si>
  <si>
    <t>pC_RPA4308</t>
  </si>
  <si>
    <t>pC_Blank</t>
  </si>
  <si>
    <t>CA_RPA1786</t>
  </si>
  <si>
    <t>CA_RPA4696</t>
  </si>
  <si>
    <t>CA_Blank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</si>
</sst>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/>
    <xf numFmtId="2" fontId="19" fillId="0" borderId="0" xfId="0" applyNumberFormat="1" applyFont="1"/>
    <xf numFmtId="0" fontId="0" fillId="0" borderId="10" xfId="0" applyBorder="1" applyAlignment="1">
      <alignment horizontal="center" vertical="center"/>
    </xf>
    <xf numFmtId="49" fontId="0" fillId="0" borderId="10" xfId="0" applyNumberFormat="1" applyBorder="1"/>
    <xf numFmtId="0" fontId="0" fillId="0" borderId="10" xfId="0" applyBorder="1"/>
    <xf numFmtId="2" fontId="0" fillId="0" borderId="10" xfId="0" applyNumberForma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4A42-FB9C-4D7B-A17E-039B20ABA192}">
  <dimension ref="A1:AI163"/>
  <sheetViews>
    <sheetView topLeftCell="A79" workbookViewId="0">
      <selection activeCell="A84" sqref="A84:L94"/>
    </sheetView>
  </sheetViews>
  <sheetFormatPr defaultRowHeight="15" x14ac:dyDescent="0.25"/>
  <sheetData>
    <row r="1" spans="1:28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8" x14ac:dyDescent="0.25">
      <c r="A2" t="s">
        <v>0</v>
      </c>
      <c r="B2" s="7" t="s">
        <v>2</v>
      </c>
      <c r="C2" s="7"/>
      <c r="D2" s="7"/>
      <c r="E2" t="s">
        <v>4</v>
      </c>
      <c r="F2" s="7" t="s">
        <v>2</v>
      </c>
      <c r="G2" s="7"/>
      <c r="H2" s="7"/>
      <c r="I2" t="s">
        <v>10</v>
      </c>
      <c r="J2" s="7" t="s">
        <v>2</v>
      </c>
      <c r="K2" s="7"/>
      <c r="L2" s="7"/>
      <c r="M2" t="s">
        <v>5</v>
      </c>
      <c r="N2" s="7" t="s">
        <v>2</v>
      </c>
      <c r="O2" s="7"/>
      <c r="P2" s="7"/>
      <c r="Q2" t="s">
        <v>8</v>
      </c>
      <c r="R2" s="7" t="s">
        <v>2</v>
      </c>
      <c r="S2" s="7"/>
      <c r="T2" s="7"/>
      <c r="U2" t="s">
        <v>6</v>
      </c>
      <c r="V2" s="7" t="s">
        <v>2</v>
      </c>
      <c r="W2" s="7"/>
      <c r="X2" s="7"/>
      <c r="Y2" t="s">
        <v>7</v>
      </c>
      <c r="Z2" s="7" t="s">
        <v>2</v>
      </c>
      <c r="AA2" s="7"/>
      <c r="AB2" s="7"/>
    </row>
    <row r="3" spans="1:28" x14ac:dyDescent="0.25">
      <c r="A3" t="s">
        <v>3</v>
      </c>
      <c r="B3">
        <v>1</v>
      </c>
      <c r="C3">
        <v>2</v>
      </c>
      <c r="D3">
        <v>3</v>
      </c>
      <c r="E3" t="s">
        <v>3</v>
      </c>
      <c r="F3">
        <v>1</v>
      </c>
      <c r="G3">
        <v>2</v>
      </c>
      <c r="H3">
        <v>3</v>
      </c>
      <c r="I3" t="s">
        <v>3</v>
      </c>
      <c r="J3">
        <v>1</v>
      </c>
      <c r="K3">
        <v>2</v>
      </c>
      <c r="L3">
        <v>3</v>
      </c>
      <c r="M3" t="s">
        <v>3</v>
      </c>
      <c r="N3">
        <v>1</v>
      </c>
      <c r="O3">
        <v>2</v>
      </c>
      <c r="P3">
        <v>3</v>
      </c>
      <c r="Q3" t="s">
        <v>3</v>
      </c>
      <c r="R3">
        <v>1</v>
      </c>
      <c r="S3">
        <v>2</v>
      </c>
      <c r="T3">
        <v>3</v>
      </c>
      <c r="U3" t="s">
        <v>3</v>
      </c>
      <c r="V3">
        <v>1</v>
      </c>
      <c r="W3">
        <v>2</v>
      </c>
      <c r="X3">
        <v>3</v>
      </c>
      <c r="Y3" t="s">
        <v>3</v>
      </c>
      <c r="Z3">
        <v>1</v>
      </c>
      <c r="AA3">
        <v>2</v>
      </c>
      <c r="AB3">
        <v>3</v>
      </c>
    </row>
    <row r="4" spans="1:28" x14ac:dyDescent="0.25">
      <c r="A4">
        <v>0</v>
      </c>
      <c r="B4">
        <v>0.2</v>
      </c>
      <c r="C4">
        <v>0.20799999999999999</v>
      </c>
      <c r="D4">
        <v>0.18099999999999999</v>
      </c>
      <c r="E4">
        <v>0</v>
      </c>
      <c r="F4">
        <v>0.2</v>
      </c>
      <c r="G4">
        <v>0.2</v>
      </c>
      <c r="H4">
        <v>0.2</v>
      </c>
      <c r="I4">
        <v>0</v>
      </c>
      <c r="J4" s="1">
        <v>0.30851000000000001</v>
      </c>
      <c r="K4" s="1">
        <v>0.24518000000000001</v>
      </c>
      <c r="L4" s="1">
        <v>0.30909999999999999</v>
      </c>
      <c r="M4">
        <v>0</v>
      </c>
      <c r="N4">
        <v>0.26100000000000001</v>
      </c>
      <c r="O4">
        <v>0.215</v>
      </c>
      <c r="P4">
        <v>0.216</v>
      </c>
      <c r="Q4">
        <v>0</v>
      </c>
      <c r="R4">
        <v>0.27</v>
      </c>
      <c r="S4">
        <v>0.24399999999999999</v>
      </c>
      <c r="T4">
        <v>0.28000000000000003</v>
      </c>
      <c r="U4">
        <v>0</v>
      </c>
      <c r="V4">
        <v>0.2</v>
      </c>
      <c r="W4">
        <v>0.2</v>
      </c>
      <c r="X4">
        <v>0.2</v>
      </c>
      <c r="Y4">
        <v>0</v>
      </c>
      <c r="Z4">
        <v>0.2</v>
      </c>
      <c r="AA4">
        <v>0.2</v>
      </c>
      <c r="AB4">
        <v>0.2</v>
      </c>
    </row>
    <row r="5" spans="1:28" x14ac:dyDescent="0.25">
      <c r="A5">
        <v>4</v>
      </c>
      <c r="B5">
        <v>0.29670999999999997</v>
      </c>
      <c r="C5">
        <v>0.24384</v>
      </c>
      <c r="D5">
        <v>0.19449</v>
      </c>
      <c r="E5">
        <v>4</v>
      </c>
      <c r="F5">
        <v>0.36981000000000003</v>
      </c>
      <c r="G5">
        <v>0.34571000000000002</v>
      </c>
      <c r="H5">
        <v>0.35626999999999998</v>
      </c>
      <c r="I5">
        <v>4</v>
      </c>
      <c r="J5" s="1">
        <v>0.43513000000000002</v>
      </c>
      <c r="K5" s="1">
        <v>0.35946</v>
      </c>
      <c r="L5" s="1">
        <v>0.39678000000000002</v>
      </c>
      <c r="M5">
        <v>4</v>
      </c>
      <c r="N5">
        <v>0.28088000000000002</v>
      </c>
      <c r="O5">
        <v>0.25163999999999997</v>
      </c>
      <c r="P5">
        <v>0.22486</v>
      </c>
      <c r="Q5">
        <v>4</v>
      </c>
      <c r="R5">
        <v>0.27600999999999998</v>
      </c>
      <c r="S5">
        <v>0.25734000000000001</v>
      </c>
      <c r="T5">
        <v>0.29396</v>
      </c>
      <c r="U5">
        <f>U4+4</f>
        <v>4</v>
      </c>
      <c r="V5">
        <v>0.40305999999999997</v>
      </c>
      <c r="W5">
        <v>0.31234000000000001</v>
      </c>
      <c r="X5">
        <v>0.34877999999999998</v>
      </c>
      <c r="Y5">
        <v>4</v>
      </c>
      <c r="Z5" s="1">
        <v>0.31</v>
      </c>
      <c r="AA5" s="1">
        <v>0.3</v>
      </c>
      <c r="AB5" s="1">
        <v>0.28999999999999998</v>
      </c>
    </row>
    <row r="6" spans="1:28" x14ac:dyDescent="0.25">
      <c r="A6">
        <v>8</v>
      </c>
      <c r="B6">
        <v>0.35493999999999998</v>
      </c>
      <c r="C6">
        <v>0.28931000000000001</v>
      </c>
      <c r="D6">
        <v>0.25176999999999999</v>
      </c>
      <c r="E6">
        <v>8</v>
      </c>
      <c r="F6">
        <v>0.48351</v>
      </c>
      <c r="G6">
        <v>0.45056000000000002</v>
      </c>
      <c r="H6">
        <v>0.42130000000000001</v>
      </c>
      <c r="I6">
        <v>8</v>
      </c>
      <c r="J6" s="1">
        <v>0.55586999999999998</v>
      </c>
      <c r="K6" s="1">
        <v>0.48032000000000002</v>
      </c>
      <c r="L6" s="1">
        <v>0.56089</v>
      </c>
      <c r="M6">
        <v>8</v>
      </c>
      <c r="N6">
        <v>0.34999000000000002</v>
      </c>
      <c r="O6">
        <v>0.28078999999999998</v>
      </c>
      <c r="P6">
        <v>0.28970000000000001</v>
      </c>
      <c r="Q6">
        <v>8</v>
      </c>
      <c r="R6">
        <v>0.33037</v>
      </c>
      <c r="S6">
        <v>0.26929999999999998</v>
      </c>
      <c r="T6">
        <v>0.32571</v>
      </c>
      <c r="U6">
        <f t="shared" ref="U6:U12" si="0">U5+4</f>
        <v>8</v>
      </c>
      <c r="V6">
        <v>0.47191</v>
      </c>
      <c r="W6">
        <v>0.38862000000000002</v>
      </c>
      <c r="X6">
        <v>0.42524000000000001</v>
      </c>
      <c r="Y6">
        <v>8</v>
      </c>
      <c r="Z6" s="1">
        <v>0.31</v>
      </c>
      <c r="AA6" s="1">
        <v>0.32</v>
      </c>
      <c r="AB6" s="1">
        <v>0.3</v>
      </c>
    </row>
    <row r="7" spans="1:28" x14ac:dyDescent="0.25">
      <c r="A7">
        <v>12</v>
      </c>
      <c r="B7">
        <v>0.48032000000000002</v>
      </c>
      <c r="C7">
        <v>0.33948</v>
      </c>
      <c r="D7">
        <v>0.32816000000000001</v>
      </c>
      <c r="E7">
        <v>12</v>
      </c>
      <c r="F7">
        <v>0.61597999999999997</v>
      </c>
      <c r="G7">
        <v>0.54522999999999999</v>
      </c>
      <c r="H7">
        <v>0.54559999999999997</v>
      </c>
      <c r="I7">
        <v>12</v>
      </c>
      <c r="J7" s="1">
        <v>0.65017000000000003</v>
      </c>
      <c r="K7" s="1">
        <v>0.59672999999999998</v>
      </c>
      <c r="L7" s="1">
        <v>0.67315000000000003</v>
      </c>
      <c r="M7">
        <v>12</v>
      </c>
      <c r="N7">
        <v>0.41276000000000002</v>
      </c>
      <c r="O7">
        <v>0.34603</v>
      </c>
      <c r="P7">
        <v>0.36058000000000001</v>
      </c>
      <c r="Q7">
        <v>12</v>
      </c>
      <c r="R7">
        <v>0.41349000000000002</v>
      </c>
      <c r="S7">
        <v>0.33683000000000002</v>
      </c>
      <c r="T7">
        <v>0.39101999999999998</v>
      </c>
      <c r="U7">
        <f t="shared" si="0"/>
        <v>12</v>
      </c>
      <c r="V7">
        <v>0.57403000000000004</v>
      </c>
      <c r="W7">
        <v>0.47250999999999999</v>
      </c>
      <c r="X7">
        <v>0.53371999999999997</v>
      </c>
      <c r="Y7">
        <v>12</v>
      </c>
      <c r="Z7" s="1">
        <v>0.38</v>
      </c>
      <c r="AA7" s="1">
        <v>0.41</v>
      </c>
      <c r="AB7" s="1">
        <v>0.41</v>
      </c>
    </row>
    <row r="8" spans="1:28" x14ac:dyDescent="0.25">
      <c r="A8">
        <v>16</v>
      </c>
      <c r="B8">
        <v>0.56301999999999996</v>
      </c>
      <c r="C8">
        <v>0.40789999999999998</v>
      </c>
      <c r="D8">
        <v>0.38351000000000002</v>
      </c>
      <c r="E8">
        <v>16</v>
      </c>
      <c r="F8">
        <v>0.70711999999999997</v>
      </c>
      <c r="G8">
        <v>0.65320999999999996</v>
      </c>
      <c r="H8">
        <v>0.65010000000000001</v>
      </c>
      <c r="I8">
        <v>16</v>
      </c>
      <c r="J8" s="1">
        <v>0.74175000000000002</v>
      </c>
      <c r="K8" s="1">
        <v>0.68330999999999997</v>
      </c>
      <c r="L8" s="1">
        <v>0.76597000000000004</v>
      </c>
      <c r="M8">
        <v>16</v>
      </c>
      <c r="N8">
        <v>0.43143999999999999</v>
      </c>
      <c r="O8">
        <v>0.39354</v>
      </c>
      <c r="P8">
        <v>0.38070999999999999</v>
      </c>
      <c r="Q8">
        <v>16</v>
      </c>
      <c r="R8">
        <v>0.53742999999999996</v>
      </c>
      <c r="S8">
        <v>0.4602</v>
      </c>
      <c r="T8">
        <v>0.52585000000000004</v>
      </c>
      <c r="U8">
        <f t="shared" si="0"/>
        <v>16</v>
      </c>
      <c r="V8">
        <v>0.67698000000000003</v>
      </c>
      <c r="W8">
        <v>0.59960000000000002</v>
      </c>
      <c r="X8">
        <v>0.65046000000000004</v>
      </c>
      <c r="Y8">
        <v>16</v>
      </c>
      <c r="Z8" s="1">
        <v>0.54</v>
      </c>
      <c r="AA8" s="1">
        <v>0.61</v>
      </c>
      <c r="AB8" s="1">
        <v>0.56999999999999995</v>
      </c>
    </row>
    <row r="9" spans="1:28" x14ac:dyDescent="0.25">
      <c r="A9">
        <v>20</v>
      </c>
      <c r="B9">
        <v>0.55984999999999996</v>
      </c>
      <c r="C9">
        <v>0.50788</v>
      </c>
      <c r="D9">
        <v>0.47466000000000003</v>
      </c>
      <c r="E9">
        <v>20</v>
      </c>
      <c r="F9">
        <v>0.68352999999999997</v>
      </c>
      <c r="G9">
        <v>0.66310999999999998</v>
      </c>
      <c r="H9">
        <v>0.66461999999999999</v>
      </c>
      <c r="I9">
        <v>20</v>
      </c>
      <c r="J9" s="1">
        <v>0.82854000000000005</v>
      </c>
      <c r="K9" s="1">
        <v>0.76207000000000003</v>
      </c>
      <c r="L9" s="1">
        <v>0.84480999999999995</v>
      </c>
      <c r="M9">
        <v>20</v>
      </c>
      <c r="N9">
        <v>0.52834999999999999</v>
      </c>
      <c r="O9">
        <v>0.46766000000000002</v>
      </c>
      <c r="P9">
        <v>0.44899</v>
      </c>
      <c r="Q9">
        <v>20</v>
      </c>
      <c r="R9">
        <v>0.68747999999999998</v>
      </c>
      <c r="S9">
        <v>0.58486000000000005</v>
      </c>
      <c r="T9">
        <v>0.66366000000000003</v>
      </c>
      <c r="U9">
        <f t="shared" si="0"/>
        <v>20</v>
      </c>
      <c r="V9">
        <v>0.67354000000000003</v>
      </c>
      <c r="W9">
        <v>0.59787999999999997</v>
      </c>
      <c r="X9">
        <v>0.66164999999999996</v>
      </c>
      <c r="Y9">
        <v>20</v>
      </c>
      <c r="Z9" s="1">
        <v>0.66</v>
      </c>
      <c r="AA9" s="1">
        <v>0.7</v>
      </c>
      <c r="AB9" s="1">
        <v>0.71</v>
      </c>
    </row>
    <row r="10" spans="1:28" x14ac:dyDescent="0.25">
      <c r="A10">
        <v>24</v>
      </c>
      <c r="B10">
        <v>0.55932999999999999</v>
      </c>
      <c r="C10">
        <v>0.58921000000000001</v>
      </c>
      <c r="D10">
        <v>0.59016000000000002</v>
      </c>
      <c r="E10">
        <v>24</v>
      </c>
      <c r="F10">
        <v>0.70201000000000002</v>
      </c>
      <c r="G10">
        <v>0.65780000000000005</v>
      </c>
      <c r="H10">
        <v>0.66461999999999999</v>
      </c>
      <c r="I10">
        <v>24</v>
      </c>
      <c r="J10" s="1">
        <v>0.91624000000000005</v>
      </c>
      <c r="K10" s="1">
        <v>0.85626000000000002</v>
      </c>
      <c r="L10" s="1">
        <v>0.94632000000000005</v>
      </c>
      <c r="M10">
        <v>24</v>
      </c>
      <c r="N10">
        <v>0.65654000000000001</v>
      </c>
      <c r="O10">
        <v>0.58570999999999995</v>
      </c>
      <c r="P10">
        <v>0.52907000000000004</v>
      </c>
      <c r="Q10">
        <v>24</v>
      </c>
      <c r="R10">
        <v>0.78564000000000001</v>
      </c>
      <c r="S10">
        <v>0.67637000000000003</v>
      </c>
      <c r="T10">
        <v>0.72782000000000002</v>
      </c>
      <c r="U10">
        <f t="shared" si="0"/>
        <v>24</v>
      </c>
      <c r="V10">
        <v>0.69176000000000004</v>
      </c>
      <c r="W10">
        <v>0.60075999999999996</v>
      </c>
      <c r="X10">
        <v>0.65437999999999996</v>
      </c>
      <c r="Y10">
        <v>24</v>
      </c>
      <c r="Z10" s="1">
        <v>0.66</v>
      </c>
      <c r="AA10" s="1">
        <v>0.74</v>
      </c>
      <c r="AB10" s="1">
        <v>0.72</v>
      </c>
    </row>
    <row r="11" spans="1:28" x14ac:dyDescent="0.25">
      <c r="A11">
        <v>28</v>
      </c>
      <c r="B11">
        <v>0.57974999999999999</v>
      </c>
      <c r="C11">
        <v>0.60119</v>
      </c>
      <c r="D11">
        <v>0.59585999999999995</v>
      </c>
      <c r="E11">
        <v>28</v>
      </c>
      <c r="F11">
        <v>0.69696000000000002</v>
      </c>
      <c r="G11">
        <v>0.66376999999999997</v>
      </c>
      <c r="H11">
        <v>0.65532000000000001</v>
      </c>
      <c r="I11">
        <v>28</v>
      </c>
      <c r="J11" s="1">
        <v>1.0201</v>
      </c>
      <c r="K11" s="1">
        <v>0.95265</v>
      </c>
      <c r="L11" s="1">
        <v>1.0470999999999999</v>
      </c>
      <c r="M11">
        <v>28</v>
      </c>
      <c r="N11">
        <v>0.77029000000000003</v>
      </c>
      <c r="O11">
        <v>0.69637000000000004</v>
      </c>
      <c r="P11">
        <v>0.65995000000000004</v>
      </c>
      <c r="Q11">
        <v>28</v>
      </c>
      <c r="R11">
        <v>0.87287999999999999</v>
      </c>
      <c r="S11">
        <v>0.73131999999999997</v>
      </c>
      <c r="T11">
        <v>0.80964999999999998</v>
      </c>
      <c r="U11">
        <f t="shared" si="0"/>
        <v>28</v>
      </c>
      <c r="V11">
        <v>0.68466000000000005</v>
      </c>
      <c r="W11">
        <v>0.61129</v>
      </c>
      <c r="X11">
        <v>0.66164999999999996</v>
      </c>
      <c r="Y11">
        <v>28</v>
      </c>
      <c r="Z11" s="1">
        <v>0.71</v>
      </c>
      <c r="AA11" s="1">
        <v>0.69</v>
      </c>
      <c r="AB11" s="1">
        <v>0.7</v>
      </c>
    </row>
    <row r="12" spans="1:28" x14ac:dyDescent="0.25">
      <c r="A12">
        <v>32</v>
      </c>
      <c r="B12">
        <v>0.57265999999999995</v>
      </c>
      <c r="C12">
        <v>0.58306999999999998</v>
      </c>
      <c r="D12">
        <v>0.58847000000000005</v>
      </c>
      <c r="E12">
        <v>32</v>
      </c>
      <c r="F12">
        <v>0.69911000000000001</v>
      </c>
      <c r="G12">
        <v>0.66915000000000002</v>
      </c>
      <c r="H12">
        <v>0.66127999999999998</v>
      </c>
      <c r="I12">
        <v>32</v>
      </c>
      <c r="J12" s="1">
        <v>1.0911299999999999</v>
      </c>
      <c r="K12" s="1">
        <v>0.97397</v>
      </c>
      <c r="L12" s="1">
        <v>1.0536300000000001</v>
      </c>
      <c r="M12">
        <v>32</v>
      </c>
      <c r="N12">
        <v>0.89893000000000001</v>
      </c>
      <c r="O12">
        <v>0.80091000000000001</v>
      </c>
      <c r="P12">
        <v>0.77395999999999998</v>
      </c>
      <c r="Q12">
        <v>32</v>
      </c>
      <c r="R12">
        <v>0.97526000000000002</v>
      </c>
      <c r="S12">
        <v>0.80801000000000001</v>
      </c>
      <c r="T12">
        <v>0.85509999999999997</v>
      </c>
      <c r="U12" s="4">
        <f t="shared" si="0"/>
        <v>32</v>
      </c>
      <c r="V12" s="4">
        <v>0.69752000000000003</v>
      </c>
      <c r="W12" s="4">
        <v>0.61665999999999999</v>
      </c>
      <c r="X12" s="4">
        <v>0.68005000000000004</v>
      </c>
      <c r="Z12" s="1"/>
      <c r="AA12" s="1"/>
      <c r="AB12" s="1"/>
    </row>
    <row r="13" spans="1:28" x14ac:dyDescent="0.25">
      <c r="A13">
        <v>36</v>
      </c>
      <c r="B13">
        <v>0.57320000000000004</v>
      </c>
      <c r="C13">
        <v>0.57811000000000001</v>
      </c>
      <c r="D13">
        <v>0.58791000000000004</v>
      </c>
      <c r="E13">
        <v>36</v>
      </c>
      <c r="F13">
        <v>0.68913000000000002</v>
      </c>
      <c r="G13">
        <v>0.65256000000000003</v>
      </c>
      <c r="H13">
        <v>0.63668000000000002</v>
      </c>
      <c r="I13">
        <v>36</v>
      </c>
      <c r="J13" s="1">
        <v>1.0822499999999999</v>
      </c>
      <c r="K13" s="1">
        <v>0.96318000000000004</v>
      </c>
      <c r="L13" s="1">
        <v>1.05199</v>
      </c>
      <c r="M13">
        <v>36</v>
      </c>
      <c r="N13">
        <v>1.03467</v>
      </c>
      <c r="O13">
        <v>0.93511</v>
      </c>
      <c r="P13">
        <v>0.90381999999999996</v>
      </c>
      <c r="Q13">
        <v>36</v>
      </c>
      <c r="R13">
        <v>1.09473</v>
      </c>
      <c r="S13">
        <v>0.9153</v>
      </c>
      <c r="T13">
        <v>0.89659999999999995</v>
      </c>
      <c r="U13" s="5"/>
      <c r="V13" s="5"/>
      <c r="W13" s="5"/>
      <c r="X13" s="5"/>
      <c r="Z13" s="1"/>
      <c r="AA13" s="1"/>
      <c r="AB13" s="1"/>
    </row>
    <row r="14" spans="1:28" x14ac:dyDescent="0.25">
      <c r="A14">
        <v>40</v>
      </c>
      <c r="B14">
        <v>0.57865999999999995</v>
      </c>
      <c r="C14">
        <v>0.58030999999999999</v>
      </c>
      <c r="D14">
        <v>0.58231999999999995</v>
      </c>
      <c r="E14">
        <v>40</v>
      </c>
      <c r="F14">
        <v>0.70860000000000001</v>
      </c>
      <c r="G14">
        <v>0.66510999999999998</v>
      </c>
      <c r="H14">
        <v>0.6573</v>
      </c>
      <c r="I14">
        <v>40</v>
      </c>
      <c r="J14" s="1">
        <v>1.077</v>
      </c>
      <c r="K14" s="1">
        <v>0.96318000000000004</v>
      </c>
      <c r="L14" s="1">
        <v>1.0503499999999999</v>
      </c>
      <c r="M14">
        <v>40</v>
      </c>
      <c r="N14">
        <v>1.16065</v>
      </c>
      <c r="O14">
        <v>1.0633900000000001</v>
      </c>
      <c r="P14">
        <v>1.02528</v>
      </c>
      <c r="Q14">
        <v>40</v>
      </c>
      <c r="R14">
        <v>1.2172700000000001</v>
      </c>
      <c r="S14">
        <v>0.95526</v>
      </c>
      <c r="T14">
        <v>1.0280800000000001</v>
      </c>
      <c r="U14" s="5"/>
      <c r="V14" s="5"/>
      <c r="W14" s="5"/>
      <c r="X14" s="5"/>
      <c r="Z14" s="1"/>
      <c r="AA14" s="1"/>
      <c r="AB14" s="1"/>
    </row>
    <row r="15" spans="1:28" x14ac:dyDescent="0.25">
      <c r="A15">
        <v>44</v>
      </c>
      <c r="B15">
        <v>0.56460999999999995</v>
      </c>
      <c r="C15">
        <v>0.57865999999999995</v>
      </c>
      <c r="D15">
        <v>0.58455000000000001</v>
      </c>
      <c r="E15">
        <v>44</v>
      </c>
      <c r="F15">
        <v>0.69054000000000004</v>
      </c>
      <c r="G15">
        <v>0.65846000000000005</v>
      </c>
      <c r="H15">
        <v>0.65532000000000001</v>
      </c>
      <c r="I15">
        <v>44</v>
      </c>
      <c r="J15" s="1">
        <v>1.0735399999999999</v>
      </c>
      <c r="K15" s="1">
        <v>0.96052000000000004</v>
      </c>
      <c r="L15" s="1">
        <v>1.0487200000000001</v>
      </c>
      <c r="M15">
        <v>44</v>
      </c>
      <c r="N15">
        <v>1.2210300000000001</v>
      </c>
      <c r="O15">
        <v>1.1734899999999999</v>
      </c>
      <c r="P15">
        <v>1.15124</v>
      </c>
      <c r="Q15">
        <v>44</v>
      </c>
      <c r="R15">
        <v>1.1760900000000001</v>
      </c>
      <c r="S15">
        <v>1.03549</v>
      </c>
      <c r="T15">
        <v>1.10049</v>
      </c>
      <c r="U15" s="5"/>
      <c r="V15" s="5"/>
      <c r="W15" s="5"/>
      <c r="X15" s="5"/>
    </row>
    <row r="16" spans="1:28" x14ac:dyDescent="0.25">
      <c r="A16">
        <v>48</v>
      </c>
      <c r="B16">
        <v>0.56249000000000005</v>
      </c>
      <c r="C16">
        <v>0.58753</v>
      </c>
      <c r="D16">
        <v>0.57845000000000002</v>
      </c>
      <c r="E16">
        <v>48</v>
      </c>
      <c r="F16">
        <v>0.70055999999999996</v>
      </c>
      <c r="G16">
        <v>0.65583000000000002</v>
      </c>
      <c r="H16">
        <v>0.66395000000000004</v>
      </c>
      <c r="I16">
        <v>48</v>
      </c>
      <c r="J16" s="1">
        <v>1.0752699999999999</v>
      </c>
      <c r="K16" s="1">
        <v>0.96052000000000004</v>
      </c>
      <c r="L16" s="1">
        <v>1.0470999999999999</v>
      </c>
      <c r="M16">
        <v>48</v>
      </c>
      <c r="N16">
        <v>1.2138899999999999</v>
      </c>
      <c r="O16">
        <v>1.16919</v>
      </c>
      <c r="P16">
        <v>1.18106</v>
      </c>
      <c r="Q16">
        <v>48</v>
      </c>
      <c r="R16">
        <v>1.1871400000000001</v>
      </c>
      <c r="S16">
        <v>1.0261499999999999</v>
      </c>
      <c r="T16">
        <v>1.0843</v>
      </c>
      <c r="U16" s="5"/>
      <c r="V16" s="5"/>
      <c r="W16" s="5"/>
      <c r="X16" s="5"/>
    </row>
    <row r="17" spans="1:24" x14ac:dyDescent="0.25">
      <c r="A17">
        <v>52</v>
      </c>
      <c r="B17">
        <v>0.57428000000000001</v>
      </c>
      <c r="C17">
        <v>0.58418000000000003</v>
      </c>
      <c r="D17">
        <v>0.58343</v>
      </c>
      <c r="E17">
        <v>52</v>
      </c>
      <c r="F17">
        <v>0.70418999999999998</v>
      </c>
      <c r="G17">
        <v>0.65846000000000005</v>
      </c>
      <c r="H17">
        <v>0.64944999999999997</v>
      </c>
      <c r="I17">
        <v>52</v>
      </c>
      <c r="J17" s="1">
        <v>1.0752699999999999</v>
      </c>
      <c r="K17" s="1">
        <v>0.96052000000000004</v>
      </c>
      <c r="L17" s="1">
        <v>1.0487200000000001</v>
      </c>
      <c r="M17">
        <v>52</v>
      </c>
      <c r="N17">
        <v>1.2138899999999999</v>
      </c>
      <c r="O17">
        <v>1.16706</v>
      </c>
      <c r="P17">
        <v>1.1854899999999999</v>
      </c>
      <c r="Q17">
        <v>52</v>
      </c>
      <c r="R17">
        <v>1.20079</v>
      </c>
      <c r="S17">
        <v>1.03549</v>
      </c>
      <c r="T17">
        <v>1.0950200000000001</v>
      </c>
      <c r="U17" s="5"/>
      <c r="V17" s="5"/>
      <c r="W17" s="5"/>
      <c r="X17" s="5"/>
    </row>
    <row r="18" spans="1:24" x14ac:dyDescent="0.25">
      <c r="A18">
        <v>56</v>
      </c>
      <c r="B18">
        <v>0.56408000000000003</v>
      </c>
      <c r="C18">
        <v>0.58696999999999999</v>
      </c>
      <c r="D18">
        <v>0.59243000000000001</v>
      </c>
      <c r="E18">
        <v>56</v>
      </c>
      <c r="F18">
        <v>0.70933000000000002</v>
      </c>
      <c r="G18">
        <v>0.65780000000000005</v>
      </c>
      <c r="H18">
        <v>0.6573</v>
      </c>
      <c r="I18">
        <v>56</v>
      </c>
      <c r="J18" s="1">
        <v>1.0701099999999999</v>
      </c>
      <c r="K18" s="1">
        <v>0.95657000000000003</v>
      </c>
      <c r="L18" s="1">
        <v>1.05199</v>
      </c>
      <c r="M18">
        <v>56</v>
      </c>
      <c r="N18">
        <v>1.2138899999999999</v>
      </c>
      <c r="O18">
        <v>1.17134</v>
      </c>
      <c r="P18">
        <v>1.1922200000000001</v>
      </c>
      <c r="Q18">
        <v>56</v>
      </c>
      <c r="R18">
        <v>1.19848</v>
      </c>
      <c r="S18">
        <v>1.0386500000000001</v>
      </c>
      <c r="T18">
        <v>1.0896300000000001</v>
      </c>
      <c r="U18" s="5"/>
      <c r="V18" s="5"/>
      <c r="W18" s="5"/>
      <c r="X18" s="5"/>
    </row>
    <row r="19" spans="1:24" x14ac:dyDescent="0.25">
      <c r="A19">
        <v>60</v>
      </c>
      <c r="B19">
        <v>0.56301999999999996</v>
      </c>
      <c r="C19">
        <v>0.58528999999999998</v>
      </c>
      <c r="D19">
        <v>0.59016000000000002</v>
      </c>
      <c r="E19">
        <v>60</v>
      </c>
      <c r="F19">
        <v>0.69696000000000002</v>
      </c>
      <c r="G19">
        <v>0.65125999999999995</v>
      </c>
      <c r="H19">
        <v>0.64880000000000004</v>
      </c>
      <c r="I19">
        <v>60</v>
      </c>
      <c r="J19" s="1">
        <v>1.077</v>
      </c>
      <c r="K19" s="1">
        <v>0.95657000000000003</v>
      </c>
      <c r="L19" s="1">
        <v>1.0487200000000001</v>
      </c>
      <c r="M19">
        <v>60</v>
      </c>
      <c r="N19">
        <v>1.2186399999999999</v>
      </c>
      <c r="O19">
        <v>1.1756599999999999</v>
      </c>
      <c r="P19">
        <v>1.1944900000000001</v>
      </c>
      <c r="Q19">
        <v>60</v>
      </c>
      <c r="R19">
        <v>1.20543</v>
      </c>
      <c r="S19">
        <v>1.04183</v>
      </c>
      <c r="T19">
        <v>1.0932200000000001</v>
      </c>
      <c r="U19" s="5"/>
      <c r="V19" s="5"/>
      <c r="W19" s="5"/>
      <c r="X19" s="5"/>
    </row>
    <row r="20" spans="1:24" x14ac:dyDescent="0.25">
      <c r="A20">
        <v>64</v>
      </c>
      <c r="B20">
        <v>0.56942000000000004</v>
      </c>
      <c r="C20">
        <v>0.58640999999999999</v>
      </c>
      <c r="D20">
        <v>0.57899999999999996</v>
      </c>
      <c r="E20">
        <v>64</v>
      </c>
      <c r="F20">
        <v>0.70274000000000003</v>
      </c>
      <c r="G20">
        <v>0.65978000000000003</v>
      </c>
      <c r="H20">
        <v>0.65532000000000001</v>
      </c>
      <c r="I20">
        <v>64</v>
      </c>
      <c r="J20" s="1">
        <v>1.07182</v>
      </c>
      <c r="K20" s="1">
        <v>0.96184999999999998</v>
      </c>
      <c r="L20" s="1">
        <v>1.0487200000000001</v>
      </c>
      <c r="M20">
        <v>64</v>
      </c>
      <c r="N20">
        <v>1.2186399999999999</v>
      </c>
      <c r="O20">
        <v>1.1734899999999999</v>
      </c>
      <c r="P20">
        <v>1.19906</v>
      </c>
      <c r="Q20">
        <v>64</v>
      </c>
      <c r="R20">
        <v>1.2148699999999999</v>
      </c>
      <c r="S20">
        <v>1.04664</v>
      </c>
      <c r="T20">
        <v>1.0914200000000001</v>
      </c>
      <c r="U20" s="5"/>
      <c r="V20" s="5"/>
      <c r="W20" s="5"/>
      <c r="X20" s="5"/>
    </row>
    <row r="21" spans="1:24" x14ac:dyDescent="0.25">
      <c r="A21">
        <v>68</v>
      </c>
      <c r="B21">
        <v>0.55774999999999997</v>
      </c>
      <c r="C21">
        <v>0.58753</v>
      </c>
      <c r="D21">
        <v>0.57955000000000001</v>
      </c>
      <c r="E21">
        <v>68</v>
      </c>
      <c r="F21">
        <v>0.69911000000000001</v>
      </c>
      <c r="G21">
        <v>0.65517000000000003</v>
      </c>
      <c r="H21">
        <v>0.65598000000000001</v>
      </c>
      <c r="I21">
        <v>68</v>
      </c>
      <c r="J21" s="1">
        <v>1.0735399999999999</v>
      </c>
      <c r="K21" s="1">
        <v>0.95920000000000005</v>
      </c>
      <c r="L21" s="1">
        <v>1.04548</v>
      </c>
      <c r="M21">
        <v>68</v>
      </c>
      <c r="N21">
        <v>1.2186399999999999</v>
      </c>
      <c r="O21">
        <v>1.1778299999999999</v>
      </c>
      <c r="P21">
        <v>1.1967699999999999</v>
      </c>
      <c r="Q21">
        <v>68</v>
      </c>
      <c r="R21">
        <v>1.2101299999999999</v>
      </c>
      <c r="S21">
        <v>1.04664</v>
      </c>
      <c r="T21">
        <v>1.09684</v>
      </c>
      <c r="U21" s="5"/>
      <c r="V21" s="5"/>
      <c r="W21" s="5"/>
      <c r="X21" s="5"/>
    </row>
    <row r="22" spans="1:24" x14ac:dyDescent="0.25">
      <c r="A22">
        <v>72</v>
      </c>
      <c r="B22">
        <v>0.56567000000000001</v>
      </c>
      <c r="C22">
        <v>0.58528999999999998</v>
      </c>
      <c r="D22">
        <v>0.57955000000000001</v>
      </c>
      <c r="E22">
        <v>72</v>
      </c>
      <c r="F22">
        <v>0.69552000000000003</v>
      </c>
      <c r="G22">
        <v>0.65649000000000002</v>
      </c>
      <c r="H22">
        <v>0.65664</v>
      </c>
      <c r="I22">
        <v>72</v>
      </c>
      <c r="J22" s="1">
        <v>1.07182</v>
      </c>
      <c r="K22" s="1">
        <v>0.95787999999999995</v>
      </c>
      <c r="L22" s="1">
        <v>1.0470999999999999</v>
      </c>
      <c r="M22">
        <v>72</v>
      </c>
      <c r="N22">
        <v>1.2186399999999999</v>
      </c>
      <c r="O22">
        <v>1.1756599999999999</v>
      </c>
      <c r="P22">
        <v>1.20137</v>
      </c>
      <c r="U22" s="5"/>
      <c r="V22" s="5"/>
      <c r="W22" s="5"/>
      <c r="X22" s="5"/>
    </row>
    <row r="23" spans="1:24" x14ac:dyDescent="0.25">
      <c r="A23">
        <v>76</v>
      </c>
      <c r="B23">
        <v>0.56567000000000001</v>
      </c>
      <c r="C23">
        <v>0.60526000000000002</v>
      </c>
      <c r="D23">
        <v>0.58455000000000001</v>
      </c>
      <c r="E23">
        <v>76</v>
      </c>
      <c r="F23">
        <v>0.70345999999999997</v>
      </c>
      <c r="G23">
        <v>0.65256000000000003</v>
      </c>
      <c r="H23">
        <v>0.65861999999999998</v>
      </c>
      <c r="I23">
        <v>76</v>
      </c>
      <c r="J23" s="1">
        <v>1.0735399999999999</v>
      </c>
      <c r="K23" s="1">
        <v>0.95787999999999995</v>
      </c>
      <c r="L23" s="1">
        <v>1.0470999999999999</v>
      </c>
      <c r="M23">
        <v>76</v>
      </c>
      <c r="N23">
        <v>1.2186399999999999</v>
      </c>
      <c r="O23">
        <v>1.1756599999999999</v>
      </c>
      <c r="P23">
        <v>1.2036800000000001</v>
      </c>
      <c r="U23" s="5"/>
      <c r="V23" s="5"/>
      <c r="W23" s="5"/>
      <c r="X23" s="5"/>
    </row>
    <row r="24" spans="1:24" x14ac:dyDescent="0.25">
      <c r="A24">
        <v>80</v>
      </c>
      <c r="B24">
        <v>0.56460999999999995</v>
      </c>
      <c r="C24">
        <v>0.60292999999999997</v>
      </c>
      <c r="D24">
        <v>0.58735000000000004</v>
      </c>
      <c r="I24">
        <v>80</v>
      </c>
      <c r="J24" s="1">
        <v>1.0787500000000001</v>
      </c>
      <c r="K24" s="1">
        <v>0.95394999999999996</v>
      </c>
      <c r="L24" s="1">
        <v>1.04548</v>
      </c>
      <c r="M24">
        <f>M23+4</f>
        <v>80</v>
      </c>
      <c r="N24">
        <v>1.2282900000000001</v>
      </c>
      <c r="O24">
        <v>1.1778299999999999</v>
      </c>
      <c r="P24">
        <v>1.20835</v>
      </c>
    </row>
    <row r="25" spans="1:24" x14ac:dyDescent="0.25">
      <c r="A25">
        <v>84</v>
      </c>
      <c r="B25">
        <v>0.56620999999999999</v>
      </c>
      <c r="C25">
        <v>0.60292999999999997</v>
      </c>
      <c r="D25">
        <v>0.56864999999999999</v>
      </c>
      <c r="I25">
        <v>84</v>
      </c>
      <c r="J25" s="1">
        <v>1.0787500000000001</v>
      </c>
      <c r="K25" s="1">
        <v>0.95394999999999996</v>
      </c>
      <c r="L25" s="1">
        <v>1.04548</v>
      </c>
      <c r="M25">
        <f t="shared" ref="M25:M42" si="1">M24+4</f>
        <v>84</v>
      </c>
      <c r="N25">
        <v>1.2282900000000001</v>
      </c>
      <c r="O25">
        <v>1.1756599999999999</v>
      </c>
      <c r="P25">
        <v>1.20835</v>
      </c>
    </row>
    <row r="26" spans="1:24" x14ac:dyDescent="0.25">
      <c r="A26">
        <v>88</v>
      </c>
      <c r="B26">
        <v>0.57811000000000001</v>
      </c>
      <c r="C26">
        <v>0.60877999999999999</v>
      </c>
      <c r="D26">
        <v>0.58121</v>
      </c>
      <c r="M26">
        <f t="shared" si="1"/>
        <v>88</v>
      </c>
      <c r="N26">
        <v>1.2307399999999999</v>
      </c>
      <c r="O26">
        <v>1.1778299999999999</v>
      </c>
      <c r="P26">
        <v>1.2130700000000001</v>
      </c>
    </row>
    <row r="27" spans="1:24" x14ac:dyDescent="0.25">
      <c r="M27">
        <f t="shared" si="1"/>
        <v>92</v>
      </c>
      <c r="N27">
        <v>1.2307399999999999</v>
      </c>
      <c r="O27">
        <v>1.1778299999999999</v>
      </c>
      <c r="P27">
        <v>1.20835</v>
      </c>
    </row>
    <row r="28" spans="1:24" x14ac:dyDescent="0.25">
      <c r="M28">
        <f t="shared" si="1"/>
        <v>96</v>
      </c>
      <c r="N28">
        <v>1.2282900000000001</v>
      </c>
      <c r="O28">
        <v>1.1800200000000001</v>
      </c>
      <c r="P28">
        <v>1.21071</v>
      </c>
    </row>
    <row r="29" spans="1:24" x14ac:dyDescent="0.25">
      <c r="M29">
        <f t="shared" si="1"/>
        <v>100</v>
      </c>
      <c r="N29">
        <v>1.2307399999999999</v>
      </c>
      <c r="O29">
        <v>1.18222</v>
      </c>
      <c r="P29">
        <v>1.2154499999999999</v>
      </c>
    </row>
    <row r="30" spans="1:24" x14ac:dyDescent="0.25">
      <c r="M30">
        <f t="shared" si="1"/>
        <v>104</v>
      </c>
      <c r="N30">
        <v>1.23567</v>
      </c>
      <c r="O30">
        <v>1.18889</v>
      </c>
      <c r="P30">
        <v>1.2178500000000001</v>
      </c>
    </row>
    <row r="31" spans="1:24" x14ac:dyDescent="0.25">
      <c r="M31">
        <f t="shared" si="1"/>
        <v>108</v>
      </c>
      <c r="N31">
        <v>1.2332000000000001</v>
      </c>
      <c r="O31">
        <v>1.18889</v>
      </c>
      <c r="P31">
        <v>1.2202500000000001</v>
      </c>
    </row>
    <row r="32" spans="1:24" x14ac:dyDescent="0.25">
      <c r="M32">
        <f t="shared" si="1"/>
        <v>112</v>
      </c>
      <c r="N32">
        <v>1.2381599999999999</v>
      </c>
      <c r="O32">
        <v>1.18889</v>
      </c>
      <c r="P32">
        <v>1.2251099999999999</v>
      </c>
    </row>
    <row r="33" spans="1:35" x14ac:dyDescent="0.25">
      <c r="M33">
        <f t="shared" si="1"/>
        <v>116</v>
      </c>
      <c r="N33">
        <v>1.2457100000000001</v>
      </c>
      <c r="O33">
        <v>1.1956500000000001</v>
      </c>
      <c r="P33">
        <v>1.2251099999999999</v>
      </c>
    </row>
    <row r="34" spans="1:35" x14ac:dyDescent="0.25">
      <c r="M34">
        <f t="shared" si="1"/>
        <v>120</v>
      </c>
      <c r="N34">
        <v>1.24318</v>
      </c>
      <c r="O34">
        <v>1.1956500000000001</v>
      </c>
      <c r="P34">
        <v>1.2251099999999999</v>
      </c>
    </row>
    <row r="35" spans="1:35" x14ac:dyDescent="0.25">
      <c r="M35">
        <f t="shared" si="1"/>
        <v>124</v>
      </c>
      <c r="N35">
        <v>1.2482599999999999</v>
      </c>
      <c r="O35">
        <v>1.1956500000000001</v>
      </c>
      <c r="P35">
        <v>1.2324900000000001</v>
      </c>
    </row>
    <row r="36" spans="1:35" x14ac:dyDescent="0.25">
      <c r="M36">
        <f t="shared" si="1"/>
        <v>128</v>
      </c>
      <c r="N36">
        <v>1.2482599999999999</v>
      </c>
      <c r="O36">
        <v>1.2002200000000001</v>
      </c>
      <c r="P36">
        <v>1.23498</v>
      </c>
    </row>
    <row r="37" spans="1:35" x14ac:dyDescent="0.25">
      <c r="M37">
        <f t="shared" si="1"/>
        <v>132</v>
      </c>
      <c r="N37">
        <v>1.24318</v>
      </c>
      <c r="O37">
        <v>1.1979299999999999</v>
      </c>
      <c r="P37">
        <v>1.23498</v>
      </c>
    </row>
    <row r="38" spans="1:35" x14ac:dyDescent="0.25">
      <c r="M38">
        <f t="shared" si="1"/>
        <v>136</v>
      </c>
      <c r="N38">
        <v>1.2406600000000001</v>
      </c>
      <c r="O38">
        <v>1.1979299999999999</v>
      </c>
      <c r="P38">
        <v>1.23498</v>
      </c>
    </row>
    <row r="39" spans="1:35" x14ac:dyDescent="0.25">
      <c r="M39">
        <f t="shared" si="1"/>
        <v>140</v>
      </c>
      <c r="N39">
        <v>1.2381599999999999</v>
      </c>
      <c r="O39">
        <v>1.19339</v>
      </c>
      <c r="P39">
        <v>1.2374799999999999</v>
      </c>
    </row>
    <row r="40" spans="1:35" x14ac:dyDescent="0.25">
      <c r="M40">
        <f t="shared" si="1"/>
        <v>144</v>
      </c>
      <c r="N40">
        <v>1.2332000000000001</v>
      </c>
      <c r="O40">
        <v>1.18889</v>
      </c>
      <c r="P40">
        <v>1.2324900000000001</v>
      </c>
    </row>
    <row r="41" spans="1:35" x14ac:dyDescent="0.25">
      <c r="M41">
        <f t="shared" si="1"/>
        <v>148</v>
      </c>
      <c r="N41">
        <v>1.2307399999999999</v>
      </c>
      <c r="O41">
        <v>1.18889</v>
      </c>
      <c r="P41">
        <v>1.23498</v>
      </c>
    </row>
    <row r="42" spans="1:35" x14ac:dyDescent="0.25">
      <c r="M42">
        <f t="shared" si="1"/>
        <v>152</v>
      </c>
      <c r="N42">
        <v>1.2282900000000001</v>
      </c>
      <c r="O42">
        <v>1.19113</v>
      </c>
      <c r="P42">
        <v>1.23498</v>
      </c>
    </row>
    <row r="44" spans="1:35" x14ac:dyDescent="0.25">
      <c r="A44" s="7" t="s">
        <v>9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35" x14ac:dyDescent="0.25">
      <c r="A45" t="s">
        <v>0</v>
      </c>
      <c r="B45" s="7" t="s">
        <v>2</v>
      </c>
      <c r="C45" s="7"/>
      <c r="D45" s="7"/>
      <c r="E45" t="s">
        <v>4</v>
      </c>
      <c r="F45" s="7" t="s">
        <v>2</v>
      </c>
      <c r="G45" s="7"/>
      <c r="H45" s="7"/>
      <c r="I45" t="s">
        <v>10</v>
      </c>
      <c r="J45" s="7" t="s">
        <v>2</v>
      </c>
      <c r="K45" s="7"/>
      <c r="L45" s="7"/>
      <c r="M45" t="s">
        <v>5</v>
      </c>
      <c r="N45" s="7" t="s">
        <v>2</v>
      </c>
      <c r="O45" s="7"/>
      <c r="P45" s="7"/>
      <c r="Q45" t="s">
        <v>8</v>
      </c>
      <c r="R45" s="7" t="s">
        <v>2</v>
      </c>
      <c r="S45" s="7"/>
      <c r="T45" s="7"/>
      <c r="U45" t="s">
        <v>11</v>
      </c>
      <c r="V45" s="7" t="s">
        <v>2</v>
      </c>
      <c r="W45" s="7"/>
      <c r="X45" s="7"/>
      <c r="Y45" t="s">
        <v>7</v>
      </c>
      <c r="Z45" s="7" t="s">
        <v>2</v>
      </c>
      <c r="AA45" s="7"/>
      <c r="AB45" s="7"/>
    </row>
    <row r="46" spans="1:35" x14ac:dyDescent="0.25">
      <c r="A46" t="s">
        <v>3</v>
      </c>
      <c r="B46">
        <v>1</v>
      </c>
      <c r="C46">
        <v>2</v>
      </c>
      <c r="D46">
        <v>3</v>
      </c>
      <c r="E46" t="s">
        <v>3</v>
      </c>
      <c r="F46">
        <v>1</v>
      </c>
      <c r="G46">
        <v>2</v>
      </c>
      <c r="H46">
        <v>3</v>
      </c>
      <c r="I46" t="s">
        <v>3</v>
      </c>
      <c r="J46">
        <v>1</v>
      </c>
      <c r="K46">
        <v>2</v>
      </c>
      <c r="L46">
        <v>3</v>
      </c>
      <c r="M46" t="s">
        <v>3</v>
      </c>
      <c r="N46">
        <v>1</v>
      </c>
      <c r="O46">
        <v>2</v>
      </c>
      <c r="P46">
        <v>3</v>
      </c>
      <c r="Q46" t="s">
        <v>3</v>
      </c>
      <c r="R46">
        <v>1</v>
      </c>
      <c r="S46">
        <v>2</v>
      </c>
      <c r="T46">
        <v>3</v>
      </c>
      <c r="U46" t="s">
        <v>3</v>
      </c>
      <c r="V46">
        <v>1</v>
      </c>
      <c r="W46">
        <v>2</v>
      </c>
      <c r="X46">
        <v>3</v>
      </c>
      <c r="Y46" t="s">
        <v>3</v>
      </c>
      <c r="Z46">
        <v>1</v>
      </c>
      <c r="AA46">
        <v>2</v>
      </c>
      <c r="AB46">
        <v>3</v>
      </c>
    </row>
    <row r="47" spans="1:35" x14ac:dyDescent="0.25">
      <c r="A47">
        <v>0</v>
      </c>
      <c r="B47">
        <v>0.23073813215200001</v>
      </c>
      <c r="C47">
        <v>0.26227973215199996</v>
      </c>
      <c r="D47">
        <v>0.29275813215200003</v>
      </c>
      <c r="E47">
        <v>0</v>
      </c>
      <c r="F47">
        <v>0.23109253215200001</v>
      </c>
      <c r="G47">
        <v>0.25802693215200001</v>
      </c>
      <c r="H47">
        <v>0.232510132152</v>
      </c>
      <c r="I47" s="2">
        <v>0</v>
      </c>
      <c r="J47" s="3">
        <v>0.2</v>
      </c>
      <c r="K47" s="1">
        <v>0.2</v>
      </c>
      <c r="L47" s="1">
        <v>0.2</v>
      </c>
      <c r="M47">
        <v>0</v>
      </c>
      <c r="N47">
        <v>0.2</v>
      </c>
      <c r="O47">
        <v>0.2</v>
      </c>
      <c r="P47">
        <v>0.2</v>
      </c>
      <c r="Q47">
        <v>0</v>
      </c>
      <c r="R47">
        <v>0.2</v>
      </c>
      <c r="S47">
        <v>0.2</v>
      </c>
      <c r="T47">
        <v>0.2</v>
      </c>
      <c r="U47">
        <v>0</v>
      </c>
      <c r="V47">
        <v>0.45890933333333334</v>
      </c>
      <c r="W47">
        <v>0.54821813333333325</v>
      </c>
      <c r="X47">
        <v>0.50001973333333327</v>
      </c>
      <c r="Y47">
        <v>0</v>
      </c>
      <c r="Z47" s="1">
        <v>0.2</v>
      </c>
      <c r="AA47" s="1">
        <v>0.21</v>
      </c>
      <c r="AB47" s="1">
        <v>0.19</v>
      </c>
      <c r="AC47" s="1"/>
      <c r="AD47" s="1"/>
      <c r="AE47" s="1"/>
      <c r="AF47" s="1"/>
      <c r="AG47" s="1"/>
      <c r="AH47" s="1"/>
      <c r="AI47" s="1"/>
    </row>
    <row r="48" spans="1:35" x14ac:dyDescent="0.25">
      <c r="A48">
        <f>A47+24</f>
        <v>24</v>
      </c>
      <c r="B48">
        <v>0.33564053215200002</v>
      </c>
      <c r="C48">
        <v>0.26546933215200003</v>
      </c>
      <c r="D48">
        <v>0.230029332152</v>
      </c>
      <c r="E48">
        <f>E47+24</f>
        <v>24</v>
      </c>
      <c r="F48">
        <v>0.13256933215200001</v>
      </c>
      <c r="G48">
        <v>0.13469573215200001</v>
      </c>
      <c r="H48">
        <v>0.13930293215200001</v>
      </c>
      <c r="I48">
        <v>24</v>
      </c>
      <c r="J48" s="1">
        <v>0.34</v>
      </c>
      <c r="K48" s="1">
        <v>0.28999999999999998</v>
      </c>
      <c r="L48" s="1">
        <v>0.25</v>
      </c>
      <c r="M48">
        <v>47</v>
      </c>
      <c r="N48">
        <v>0.45</v>
      </c>
      <c r="O48">
        <v>0.51</v>
      </c>
      <c r="P48">
        <v>0.56000000000000005</v>
      </c>
      <c r="Q48">
        <v>12</v>
      </c>
      <c r="R48" s="1">
        <v>0.27</v>
      </c>
      <c r="S48" s="1">
        <v>0.25</v>
      </c>
      <c r="T48" s="1">
        <v>0.24</v>
      </c>
      <c r="U48">
        <f>U47+24</f>
        <v>24</v>
      </c>
      <c r="V48">
        <v>0.49127786666666662</v>
      </c>
      <c r="W48">
        <v>0.52341013333333331</v>
      </c>
      <c r="X48">
        <v>0.56263039999999997</v>
      </c>
      <c r="Y48">
        <v>24</v>
      </c>
      <c r="Z48" s="1">
        <v>0.25</v>
      </c>
      <c r="AA48" s="1">
        <v>0.24</v>
      </c>
      <c r="AB48" s="1">
        <v>0.22</v>
      </c>
      <c r="AC48" s="1"/>
      <c r="AD48" s="1"/>
      <c r="AE48" s="1"/>
      <c r="AF48" s="1"/>
      <c r="AG48" s="1"/>
      <c r="AH48" s="1"/>
      <c r="AI48" s="1"/>
    </row>
    <row r="49" spans="1:35" x14ac:dyDescent="0.25">
      <c r="A49">
        <f t="shared" ref="A49:A59" si="2">A48+24</f>
        <v>48</v>
      </c>
      <c r="B49">
        <v>0.311186932152</v>
      </c>
      <c r="C49">
        <v>0.25164773215199998</v>
      </c>
      <c r="D49">
        <v>0.43699893215200003</v>
      </c>
      <c r="E49">
        <f t="shared" ref="E49:E59" si="3">E48+24</f>
        <v>48</v>
      </c>
      <c r="F49">
        <v>0.17899573215200001</v>
      </c>
      <c r="G49">
        <v>0.17261653215200001</v>
      </c>
      <c r="H49">
        <v>0.16375653215200001</v>
      </c>
      <c r="I49">
        <f>I48+5.25</f>
        <v>29.25</v>
      </c>
      <c r="J49" s="1">
        <v>0.63</v>
      </c>
      <c r="K49" s="1">
        <v>0.59</v>
      </c>
      <c r="L49" s="1">
        <v>0.38</v>
      </c>
      <c r="M49">
        <v>56.75</v>
      </c>
      <c r="N49">
        <v>0.75</v>
      </c>
      <c r="O49">
        <v>0.69</v>
      </c>
      <c r="P49">
        <v>0.78</v>
      </c>
      <c r="Q49">
        <v>21.5</v>
      </c>
      <c r="R49" s="1">
        <v>0.55000000000000004</v>
      </c>
      <c r="S49" s="1">
        <v>0.5</v>
      </c>
      <c r="T49" s="1">
        <v>0.45</v>
      </c>
      <c r="U49">
        <f t="shared" ref="U49:U59" si="4">U48+24</f>
        <v>48</v>
      </c>
      <c r="V49">
        <v>0.47379413333333331</v>
      </c>
      <c r="W49">
        <v>0.51892106666666671</v>
      </c>
      <c r="X49">
        <v>0.49600319999999992</v>
      </c>
      <c r="Y49">
        <v>48</v>
      </c>
      <c r="Z49" s="1">
        <v>0.34</v>
      </c>
      <c r="AA49" s="1">
        <v>0.39</v>
      </c>
      <c r="AB49" s="1">
        <v>0.42</v>
      </c>
      <c r="AC49" s="1"/>
      <c r="AD49" s="1"/>
      <c r="AE49" s="1"/>
      <c r="AF49" s="1"/>
      <c r="AG49" s="1"/>
      <c r="AH49" s="1"/>
      <c r="AI49" s="1"/>
    </row>
    <row r="50" spans="1:35" x14ac:dyDescent="0.25">
      <c r="A50">
        <f t="shared" si="2"/>
        <v>72</v>
      </c>
      <c r="B50">
        <v>0.34201973215200004</v>
      </c>
      <c r="C50">
        <v>0.36186613215199998</v>
      </c>
      <c r="D50">
        <v>0.49405733215199998</v>
      </c>
      <c r="E50">
        <f t="shared" si="3"/>
        <v>72</v>
      </c>
      <c r="F50">
        <v>0.163402132152</v>
      </c>
      <c r="G50">
        <v>0.17049013215200001</v>
      </c>
      <c r="H50">
        <v>0.17332533215199999</v>
      </c>
      <c r="I50">
        <f>I49+10.5</f>
        <v>39.75</v>
      </c>
      <c r="J50" s="1">
        <v>0.8</v>
      </c>
      <c r="K50" s="1">
        <v>0.68</v>
      </c>
      <c r="L50" s="1">
        <v>0.53</v>
      </c>
      <c r="M50">
        <v>70</v>
      </c>
      <c r="N50">
        <v>1.21</v>
      </c>
      <c r="O50">
        <v>1.18</v>
      </c>
      <c r="P50">
        <v>1.1299999999999999</v>
      </c>
      <c r="Q50">
        <v>32.5</v>
      </c>
      <c r="R50" s="1">
        <v>0.78</v>
      </c>
      <c r="S50" s="1">
        <v>0.71</v>
      </c>
      <c r="T50" s="1">
        <v>0.7</v>
      </c>
      <c r="U50">
        <f t="shared" si="4"/>
        <v>72</v>
      </c>
      <c r="V50">
        <v>0.55979519999999994</v>
      </c>
      <c r="W50">
        <v>0.56735573333333333</v>
      </c>
      <c r="X50">
        <v>0.56664693333333338</v>
      </c>
      <c r="Y50">
        <v>72</v>
      </c>
      <c r="Z50" s="1">
        <v>0.43</v>
      </c>
      <c r="AA50" s="1">
        <v>0.53</v>
      </c>
      <c r="AB50" s="1">
        <v>0.48</v>
      </c>
      <c r="AC50" s="1"/>
      <c r="AD50" s="1"/>
    </row>
    <row r="51" spans="1:35" x14ac:dyDescent="0.25">
      <c r="A51">
        <f t="shared" si="2"/>
        <v>96</v>
      </c>
      <c r="B51">
        <v>1.3616285321520001</v>
      </c>
      <c r="C51">
        <v>1.3105949321520001</v>
      </c>
      <c r="D51">
        <v>1.4838965321520001</v>
      </c>
      <c r="E51">
        <f t="shared" si="3"/>
        <v>96</v>
      </c>
      <c r="F51">
        <v>0.40049573215200002</v>
      </c>
      <c r="G51">
        <v>0.39234453215200005</v>
      </c>
      <c r="H51">
        <v>0.36434693215200004</v>
      </c>
      <c r="I51">
        <f>I50+11.25</f>
        <v>51</v>
      </c>
      <c r="J51" s="1">
        <v>1.38</v>
      </c>
      <c r="K51" s="1">
        <v>1.03</v>
      </c>
      <c r="L51" s="1">
        <v>0.99</v>
      </c>
      <c r="M51">
        <v>81.5</v>
      </c>
      <c r="N51">
        <v>1.57</v>
      </c>
      <c r="O51">
        <v>1.83</v>
      </c>
      <c r="P51">
        <v>1.47</v>
      </c>
      <c r="Q51">
        <v>40</v>
      </c>
      <c r="R51" s="1">
        <v>0.76</v>
      </c>
      <c r="S51" s="1">
        <v>0.82</v>
      </c>
      <c r="T51" s="1">
        <v>0.76</v>
      </c>
      <c r="U51">
        <f t="shared" si="4"/>
        <v>96</v>
      </c>
      <c r="V51">
        <v>0.62405973333333331</v>
      </c>
      <c r="W51">
        <v>0.62216959999999999</v>
      </c>
      <c r="X51">
        <v>0.60444960000000003</v>
      </c>
      <c r="Y51">
        <v>100</v>
      </c>
      <c r="Z51" s="1">
        <v>0.68</v>
      </c>
      <c r="AA51" s="1">
        <v>0.82</v>
      </c>
      <c r="AB51" s="1">
        <v>0.75</v>
      </c>
      <c r="AC51" s="1"/>
      <c r="AD51" s="1"/>
    </row>
    <row r="52" spans="1:35" x14ac:dyDescent="0.25">
      <c r="A52">
        <f t="shared" si="2"/>
        <v>120</v>
      </c>
      <c r="B52">
        <v>1.3595258643039998</v>
      </c>
      <c r="C52">
        <v>1.407724264304</v>
      </c>
      <c r="D52">
        <v>1.3850426643039999</v>
      </c>
      <c r="E52">
        <f t="shared" si="3"/>
        <v>120</v>
      </c>
      <c r="F52">
        <v>0.46076746430400001</v>
      </c>
      <c r="G52">
        <v>0.44588266430400003</v>
      </c>
      <c r="H52">
        <v>0.40973386430400005</v>
      </c>
      <c r="I52">
        <f>I51+12.75</f>
        <v>63.75</v>
      </c>
      <c r="J52" s="1">
        <v>1.8</v>
      </c>
      <c r="K52" s="1">
        <v>1.66</v>
      </c>
      <c r="L52" s="1">
        <v>1.58</v>
      </c>
      <c r="M52">
        <v>97.5</v>
      </c>
      <c r="N52">
        <v>2.2999999999999998</v>
      </c>
      <c r="O52">
        <v>2.76</v>
      </c>
      <c r="P52">
        <v>2.83</v>
      </c>
      <c r="Q52">
        <v>46</v>
      </c>
      <c r="R52" s="1">
        <v>1.28</v>
      </c>
      <c r="S52" s="1">
        <v>1.17</v>
      </c>
      <c r="T52" s="1">
        <v>1.23</v>
      </c>
      <c r="U52">
        <f t="shared" si="4"/>
        <v>120</v>
      </c>
      <c r="V52">
        <v>0.7693637333333333</v>
      </c>
      <c r="W52">
        <v>0.74857226666666665</v>
      </c>
      <c r="X52">
        <v>0.73345119999999986</v>
      </c>
      <c r="Y52">
        <v>120</v>
      </c>
      <c r="Z52" s="1">
        <v>1.0900000000000001</v>
      </c>
      <c r="AA52" s="1">
        <v>1.1000000000000001</v>
      </c>
      <c r="AB52" s="1">
        <v>1.05</v>
      </c>
      <c r="AC52" s="1"/>
      <c r="AD52" s="1"/>
    </row>
    <row r="53" spans="1:35" x14ac:dyDescent="0.25">
      <c r="A53">
        <f t="shared" si="2"/>
        <v>144</v>
      </c>
      <c r="B53">
        <v>1.8524725321520001</v>
      </c>
      <c r="C53">
        <v>1.7649357321520003</v>
      </c>
      <c r="D53">
        <v>1.8705469321520001</v>
      </c>
      <c r="E53">
        <f t="shared" si="3"/>
        <v>144</v>
      </c>
      <c r="F53">
        <v>1.4668853321520001</v>
      </c>
      <c r="G53">
        <v>1.1543045321520002</v>
      </c>
      <c r="H53">
        <v>0.82081413215199994</v>
      </c>
      <c r="I53">
        <f>I52+11.5</f>
        <v>75.25</v>
      </c>
      <c r="J53" s="1">
        <v>2.5</v>
      </c>
      <c r="K53" s="1">
        <v>2.2799999999999998</v>
      </c>
      <c r="L53" s="1">
        <v>2.33</v>
      </c>
      <c r="M53">
        <v>119</v>
      </c>
      <c r="N53">
        <v>2.76</v>
      </c>
      <c r="O53">
        <v>2.71</v>
      </c>
      <c r="P53">
        <v>2.7</v>
      </c>
      <c r="Q53">
        <v>58</v>
      </c>
      <c r="R53" s="1">
        <v>1.1200000000000001</v>
      </c>
      <c r="S53" s="1">
        <v>1.05</v>
      </c>
      <c r="T53" s="1">
        <v>1.1100000000000001</v>
      </c>
      <c r="U53">
        <f t="shared" si="4"/>
        <v>144</v>
      </c>
      <c r="V53">
        <v>1.1443189333333335</v>
      </c>
      <c r="W53">
        <v>1.0453232000000001</v>
      </c>
      <c r="X53">
        <v>0.96593760000000006</v>
      </c>
      <c r="Y53">
        <v>144</v>
      </c>
      <c r="Z53" s="1">
        <v>1.03</v>
      </c>
      <c r="AA53" s="1">
        <v>1.0900000000000001</v>
      </c>
      <c r="AB53" s="1">
        <v>1.19</v>
      </c>
      <c r="AC53" s="1"/>
      <c r="AD53" s="1"/>
    </row>
    <row r="54" spans="1:35" x14ac:dyDescent="0.25">
      <c r="A54">
        <f t="shared" si="2"/>
        <v>168</v>
      </c>
      <c r="B54">
        <v>1.383246932152</v>
      </c>
      <c r="C54">
        <v>1.3988405321520001</v>
      </c>
      <c r="D54">
        <v>1.3772221321520002</v>
      </c>
      <c r="E54">
        <f t="shared" si="3"/>
        <v>168</v>
      </c>
      <c r="F54">
        <v>1.0922845321520001</v>
      </c>
      <c r="G54">
        <v>1.034871732152</v>
      </c>
      <c r="H54">
        <v>0.76233813215199997</v>
      </c>
      <c r="I54">
        <f t="shared" ref="I54" si="5">I53+11.5</f>
        <v>86.75</v>
      </c>
      <c r="J54" s="1">
        <v>1.91</v>
      </c>
      <c r="K54" s="1">
        <v>2.1</v>
      </c>
      <c r="L54" s="1">
        <v>2</v>
      </c>
      <c r="M54">
        <v>128.5</v>
      </c>
      <c r="N54">
        <v>2.91</v>
      </c>
      <c r="O54">
        <v>3.06</v>
      </c>
      <c r="P54">
        <v>3.1</v>
      </c>
      <c r="Q54">
        <v>70</v>
      </c>
      <c r="R54" s="1">
        <v>1.2</v>
      </c>
      <c r="S54" s="1">
        <v>1.19</v>
      </c>
      <c r="T54" s="1">
        <v>1.18</v>
      </c>
      <c r="U54">
        <f t="shared" si="4"/>
        <v>168</v>
      </c>
      <c r="V54">
        <v>1.4866693333333334</v>
      </c>
      <c r="W54">
        <v>1.3914538666666665</v>
      </c>
      <c r="X54">
        <v>1.3952341333333333</v>
      </c>
      <c r="Y54">
        <v>168</v>
      </c>
      <c r="Z54" s="1">
        <v>1.36</v>
      </c>
      <c r="AA54" s="1">
        <v>1.36</v>
      </c>
      <c r="AB54" s="1">
        <v>1.31</v>
      </c>
      <c r="AC54" s="1"/>
      <c r="AD54" s="1"/>
    </row>
    <row r="55" spans="1:35" x14ac:dyDescent="0.25">
      <c r="A55">
        <f t="shared" si="2"/>
        <v>192</v>
      </c>
      <c r="B55">
        <v>1.5448533321519999</v>
      </c>
      <c r="C55">
        <v>1.5955325321520002</v>
      </c>
      <c r="D55">
        <v>1.6224669321520002</v>
      </c>
      <c r="E55">
        <f t="shared" si="3"/>
        <v>192</v>
      </c>
      <c r="F55">
        <v>2.0729093321519998</v>
      </c>
      <c r="G55">
        <v>1.6543629321520001</v>
      </c>
      <c r="H55">
        <v>1.2896853321520001</v>
      </c>
      <c r="I55">
        <f>I54+12.5</f>
        <v>99.25</v>
      </c>
      <c r="J55" s="1">
        <v>2.0099999999999998</v>
      </c>
      <c r="K55" s="1">
        <v>2.21</v>
      </c>
      <c r="L55" s="1">
        <v>1.9</v>
      </c>
      <c r="M55">
        <v>149.5</v>
      </c>
      <c r="N55">
        <v>3.28</v>
      </c>
      <c r="O55">
        <v>3.22</v>
      </c>
      <c r="P55">
        <v>3.17</v>
      </c>
      <c r="Q55">
        <v>82</v>
      </c>
      <c r="R55" s="1">
        <v>1.22</v>
      </c>
      <c r="S55" s="1">
        <v>1.1200000000000001</v>
      </c>
      <c r="T55" s="1">
        <v>1.1399999999999999</v>
      </c>
      <c r="U55">
        <f t="shared" si="4"/>
        <v>192</v>
      </c>
      <c r="V55">
        <v>2.0761546666666661</v>
      </c>
      <c r="W55">
        <v>1.8734378666666665</v>
      </c>
      <c r="X55">
        <v>1.7801125333333332</v>
      </c>
      <c r="Y55">
        <v>219</v>
      </c>
      <c r="Z55" s="1">
        <v>1.36</v>
      </c>
      <c r="AA55" s="1">
        <v>1.36</v>
      </c>
      <c r="AB55" s="1">
        <v>1.31</v>
      </c>
      <c r="AC55" s="1"/>
      <c r="AD55" s="1"/>
    </row>
    <row r="56" spans="1:35" x14ac:dyDescent="0.25">
      <c r="A56">
        <f t="shared" si="2"/>
        <v>216</v>
      </c>
      <c r="B56">
        <v>1.2879133321520002</v>
      </c>
      <c r="C56">
        <v>1.2662949321520001</v>
      </c>
      <c r="D56">
        <v>1.4725557321520002</v>
      </c>
      <c r="E56">
        <f t="shared" si="3"/>
        <v>216</v>
      </c>
      <c r="F56">
        <v>1.3945877321519999</v>
      </c>
      <c r="G56">
        <v>1.6472749321520002</v>
      </c>
      <c r="H56">
        <v>1.304924532152</v>
      </c>
      <c r="M56">
        <v>162.5</v>
      </c>
      <c r="N56">
        <v>3.23</v>
      </c>
      <c r="O56">
        <v>3.21</v>
      </c>
      <c r="P56">
        <v>3.16</v>
      </c>
      <c r="U56">
        <f t="shared" si="4"/>
        <v>216</v>
      </c>
      <c r="V56">
        <v>2.2212223999999998</v>
      </c>
      <c r="W56">
        <v>2.2238213333333334</v>
      </c>
      <c r="X56">
        <v>2.1082869333333334</v>
      </c>
      <c r="Y56">
        <v>287.5</v>
      </c>
      <c r="Z56" s="1">
        <v>1.46</v>
      </c>
      <c r="AA56" s="1">
        <v>1.45</v>
      </c>
      <c r="AB56" s="1">
        <v>1.42</v>
      </c>
      <c r="AC56" s="1"/>
      <c r="AD56" s="1"/>
    </row>
    <row r="57" spans="1:35" x14ac:dyDescent="0.25">
      <c r="A57">
        <f t="shared" si="2"/>
        <v>240</v>
      </c>
      <c r="B57">
        <v>1.414434132152</v>
      </c>
      <c r="C57">
        <v>1.4842509321520001</v>
      </c>
      <c r="D57">
        <v>1.4286101321519999</v>
      </c>
      <c r="E57">
        <f t="shared" si="3"/>
        <v>240</v>
      </c>
      <c r="F57">
        <v>2.185962932152</v>
      </c>
      <c r="G57">
        <v>2.2107709321519997</v>
      </c>
      <c r="H57">
        <v>1.776630932152</v>
      </c>
      <c r="J57" s="1"/>
      <c r="M57">
        <v>173</v>
      </c>
      <c r="N57">
        <v>3.3</v>
      </c>
      <c r="O57">
        <v>3.22</v>
      </c>
      <c r="P57">
        <v>3.26</v>
      </c>
      <c r="U57">
        <f t="shared" si="4"/>
        <v>240</v>
      </c>
      <c r="V57">
        <v>1.6969466666666666</v>
      </c>
      <c r="W57">
        <v>1.8654047999999996</v>
      </c>
      <c r="X57">
        <v>1.9218725333333335</v>
      </c>
      <c r="Y57">
        <v>311</v>
      </c>
      <c r="Z57" s="1">
        <v>1.62</v>
      </c>
      <c r="AA57" s="1">
        <v>1.43</v>
      </c>
      <c r="AB57" s="1">
        <v>1.36</v>
      </c>
      <c r="AC57" s="1"/>
      <c r="AD57" s="1"/>
    </row>
    <row r="58" spans="1:35" x14ac:dyDescent="0.25">
      <c r="A58">
        <f t="shared" si="2"/>
        <v>264</v>
      </c>
      <c r="B58">
        <v>1.2801165321520001</v>
      </c>
      <c r="C58">
        <v>1.365881332152</v>
      </c>
      <c r="D58">
        <v>1.4158517321520001</v>
      </c>
      <c r="E58">
        <f t="shared" si="3"/>
        <v>264</v>
      </c>
      <c r="F58">
        <v>2.0870853321519998</v>
      </c>
      <c r="G58">
        <v>2.0406589321519997</v>
      </c>
      <c r="H58">
        <v>1.9130749321520002</v>
      </c>
      <c r="J58" s="1"/>
      <c r="R58" s="1"/>
      <c r="S58" s="1"/>
      <c r="T58" s="1"/>
      <c r="U58">
        <f t="shared" si="4"/>
        <v>264</v>
      </c>
      <c r="V58">
        <v>1.3772778666666667</v>
      </c>
      <c r="W58">
        <v>1.5249445333333334</v>
      </c>
      <c r="X58">
        <v>1.5651098666666667</v>
      </c>
      <c r="Z58" s="1"/>
      <c r="AA58" s="1"/>
      <c r="AB58" s="1"/>
    </row>
    <row r="59" spans="1:35" x14ac:dyDescent="0.25">
      <c r="A59">
        <f t="shared" si="2"/>
        <v>288</v>
      </c>
      <c r="B59">
        <v>1.242904532152</v>
      </c>
      <c r="C59">
        <v>1.1656453321520002</v>
      </c>
      <c r="D59">
        <v>1.253182132152</v>
      </c>
      <c r="E59">
        <f t="shared" si="3"/>
        <v>288</v>
      </c>
      <c r="F59">
        <v>1.9956501321520002</v>
      </c>
      <c r="G59">
        <v>1.9626909321520003</v>
      </c>
      <c r="H59">
        <v>1.8670029321520001</v>
      </c>
      <c r="J59" s="1"/>
      <c r="U59">
        <f t="shared" si="4"/>
        <v>288</v>
      </c>
      <c r="V59">
        <v>1.3588490666666664</v>
      </c>
      <c r="W59">
        <v>1.4958837333333335</v>
      </c>
      <c r="X59">
        <v>1.5100597333333334</v>
      </c>
      <c r="Z59" s="1"/>
      <c r="AA59" s="1"/>
      <c r="AB59" s="1"/>
    </row>
    <row r="60" spans="1:35" x14ac:dyDescent="0.25">
      <c r="J60" s="1"/>
      <c r="AB60" s="1"/>
    </row>
    <row r="61" spans="1:35" x14ac:dyDescent="0.25">
      <c r="J61" s="1"/>
      <c r="AB61" s="1"/>
    </row>
    <row r="62" spans="1:35" x14ac:dyDescent="0.25">
      <c r="J62" s="1"/>
      <c r="AB62" s="1"/>
    </row>
    <row r="63" spans="1:35" x14ac:dyDescent="0.25">
      <c r="AB63" s="1"/>
    </row>
    <row r="64" spans="1:35" x14ac:dyDescent="0.25">
      <c r="AB64" s="1"/>
    </row>
    <row r="65" spans="1:28" x14ac:dyDescent="0.25">
      <c r="A65" t="s">
        <v>21</v>
      </c>
      <c r="B65" t="s">
        <v>22</v>
      </c>
      <c r="C65" t="s">
        <v>23</v>
      </c>
      <c r="AB65" s="1"/>
    </row>
    <row r="66" spans="1:28" x14ac:dyDescent="0.25">
      <c r="A66" s="10" t="s">
        <v>24</v>
      </c>
      <c r="B66">
        <v>4.04</v>
      </c>
      <c r="C66">
        <v>0.94</v>
      </c>
      <c r="AB66" s="1"/>
    </row>
    <row r="67" spans="1:28" x14ac:dyDescent="0.25">
      <c r="A67" s="10" t="s">
        <v>25</v>
      </c>
      <c r="B67">
        <v>2.13</v>
      </c>
      <c r="C67">
        <v>0.22</v>
      </c>
      <c r="AB67" s="1"/>
    </row>
    <row r="68" spans="1:28" x14ac:dyDescent="0.25">
      <c r="A68" s="10" t="s">
        <v>26</v>
      </c>
      <c r="B68">
        <v>5.58</v>
      </c>
      <c r="C68">
        <v>1.52</v>
      </c>
      <c r="AB68" s="1"/>
    </row>
    <row r="69" spans="1:28" x14ac:dyDescent="0.25">
      <c r="A69" s="10" t="s">
        <v>27</v>
      </c>
      <c r="B69">
        <v>3.56</v>
      </c>
      <c r="C69">
        <v>2.99</v>
      </c>
      <c r="AB69" s="1"/>
    </row>
    <row r="70" spans="1:28" x14ac:dyDescent="0.25">
      <c r="A70" s="10" t="s">
        <v>28</v>
      </c>
      <c r="AB70" s="1"/>
    </row>
    <row r="71" spans="1:28" x14ac:dyDescent="0.25">
      <c r="K71" s="6"/>
      <c r="L71" s="9"/>
      <c r="N71" s="11"/>
      <c r="O71" s="11"/>
      <c r="P71" s="11"/>
      <c r="Q71" s="11"/>
      <c r="R71" s="11"/>
      <c r="S71" s="11"/>
      <c r="T71" s="11"/>
      <c r="U71" s="12"/>
      <c r="V71" s="9"/>
    </row>
    <row r="72" spans="1:28" x14ac:dyDescent="0.25">
      <c r="A72" s="8" t="s">
        <v>29</v>
      </c>
      <c r="B72" s="7" t="s">
        <v>2</v>
      </c>
      <c r="C72" s="7"/>
      <c r="D72" s="7"/>
      <c r="E72" s="8" t="s">
        <v>31</v>
      </c>
      <c r="F72" s="7" t="s">
        <v>2</v>
      </c>
      <c r="G72" s="7"/>
      <c r="H72" s="7"/>
      <c r="I72" s="8" t="s">
        <v>30</v>
      </c>
      <c r="J72" s="7" t="s">
        <v>2</v>
      </c>
      <c r="K72" s="7"/>
      <c r="L72" s="7"/>
      <c r="M72" s="8" t="s">
        <v>32</v>
      </c>
      <c r="N72" s="7" t="s">
        <v>2</v>
      </c>
      <c r="O72" s="7"/>
      <c r="P72" s="7"/>
      <c r="Q72" s="8" t="s">
        <v>33</v>
      </c>
      <c r="R72" s="7" t="s">
        <v>2</v>
      </c>
      <c r="S72" s="7"/>
      <c r="T72" s="7"/>
      <c r="U72" s="12"/>
    </row>
    <row r="73" spans="1:28" x14ac:dyDescent="0.25">
      <c r="A73" t="s">
        <v>3</v>
      </c>
      <c r="B73">
        <v>1</v>
      </c>
      <c r="C73">
        <v>2</v>
      </c>
      <c r="D73">
        <v>3</v>
      </c>
      <c r="E73" t="s">
        <v>3</v>
      </c>
      <c r="F73">
        <v>1</v>
      </c>
      <c r="G73">
        <v>2</v>
      </c>
      <c r="H73">
        <v>3</v>
      </c>
      <c r="I73" t="s">
        <v>3</v>
      </c>
      <c r="J73">
        <v>1</v>
      </c>
      <c r="K73">
        <v>2</v>
      </c>
      <c r="L73">
        <v>3</v>
      </c>
      <c r="M73" t="s">
        <v>3</v>
      </c>
      <c r="N73">
        <v>1</v>
      </c>
      <c r="O73">
        <v>2</v>
      </c>
      <c r="P73">
        <v>3</v>
      </c>
      <c r="Q73" t="s">
        <v>3</v>
      </c>
      <c r="R73">
        <v>1</v>
      </c>
      <c r="S73">
        <v>2</v>
      </c>
      <c r="T73">
        <v>3</v>
      </c>
      <c r="U73" s="12"/>
    </row>
    <row r="74" spans="1:28" x14ac:dyDescent="0.25">
      <c r="A74">
        <v>0</v>
      </c>
      <c r="B74">
        <v>0.2</v>
      </c>
      <c r="C74">
        <v>0.2</v>
      </c>
      <c r="D74">
        <v>0.2</v>
      </c>
      <c r="E74">
        <v>0</v>
      </c>
      <c r="F74">
        <v>0.2</v>
      </c>
      <c r="G74">
        <v>0.2</v>
      </c>
      <c r="H74">
        <v>0.2</v>
      </c>
      <c r="I74">
        <v>0</v>
      </c>
      <c r="J74">
        <v>0.2</v>
      </c>
      <c r="K74">
        <v>0.2</v>
      </c>
      <c r="L74">
        <v>0.2</v>
      </c>
      <c r="M74">
        <v>0</v>
      </c>
      <c r="N74">
        <v>0.2</v>
      </c>
      <c r="O74">
        <v>0.2</v>
      </c>
      <c r="P74">
        <v>0.2</v>
      </c>
      <c r="Q74">
        <v>0</v>
      </c>
      <c r="R74">
        <v>0.2</v>
      </c>
      <c r="S74">
        <v>0.2</v>
      </c>
      <c r="T74">
        <v>0.2</v>
      </c>
      <c r="U74" s="11"/>
    </row>
    <row r="75" spans="1:28" x14ac:dyDescent="0.25">
      <c r="A75" s="17">
        <v>18</v>
      </c>
      <c r="B75" s="11">
        <v>0.14000000000000001</v>
      </c>
      <c r="C75" s="11">
        <v>0.16</v>
      </c>
      <c r="D75" s="11">
        <v>0.15</v>
      </c>
      <c r="E75" s="17">
        <v>18</v>
      </c>
      <c r="F75" s="11">
        <v>0.25</v>
      </c>
      <c r="G75" s="11">
        <v>0.22</v>
      </c>
      <c r="H75" s="11">
        <v>0.21</v>
      </c>
      <c r="I75" s="17">
        <v>18</v>
      </c>
      <c r="J75" s="11">
        <v>0.2</v>
      </c>
      <c r="K75" s="11">
        <v>0.18</v>
      </c>
      <c r="L75" s="11">
        <v>0.18</v>
      </c>
      <c r="M75" s="17">
        <v>18</v>
      </c>
      <c r="N75" s="11">
        <v>0.27</v>
      </c>
      <c r="O75" s="11">
        <v>0.23</v>
      </c>
      <c r="P75" s="11">
        <v>0.23</v>
      </c>
      <c r="Q75" s="17">
        <v>18</v>
      </c>
      <c r="R75">
        <v>0.26</v>
      </c>
      <c r="S75">
        <v>0.27</v>
      </c>
      <c r="T75">
        <v>0.28000000000000003</v>
      </c>
      <c r="U75" s="11"/>
    </row>
    <row r="76" spans="1:28" x14ac:dyDescent="0.25">
      <c r="A76" s="17">
        <f>A75+12</f>
        <v>30</v>
      </c>
      <c r="B76" s="11">
        <v>0.18</v>
      </c>
      <c r="C76" s="11">
        <v>0.19</v>
      </c>
      <c r="D76" s="11">
        <v>0.23</v>
      </c>
      <c r="E76" s="17">
        <f>E75+12</f>
        <v>30</v>
      </c>
      <c r="F76" s="11">
        <v>0.32</v>
      </c>
      <c r="G76" s="11">
        <v>0.41</v>
      </c>
      <c r="H76" s="11">
        <v>0.32</v>
      </c>
      <c r="I76" s="17">
        <f>I75+12</f>
        <v>30</v>
      </c>
      <c r="J76" s="11">
        <v>0.28000000000000003</v>
      </c>
      <c r="K76" s="11">
        <v>0.21</v>
      </c>
      <c r="L76" s="11">
        <v>0.2</v>
      </c>
      <c r="M76" s="17">
        <f>M75+12</f>
        <v>30</v>
      </c>
      <c r="N76" s="11">
        <v>0.27</v>
      </c>
      <c r="O76" s="11">
        <v>0.3</v>
      </c>
      <c r="P76" s="11">
        <v>0.33</v>
      </c>
      <c r="Q76" s="17">
        <f>Q75+12</f>
        <v>30</v>
      </c>
      <c r="R76">
        <v>0.41</v>
      </c>
      <c r="S76">
        <v>0.43</v>
      </c>
      <c r="T76">
        <v>0.46</v>
      </c>
      <c r="U76" s="12"/>
    </row>
    <row r="77" spans="1:28" x14ac:dyDescent="0.25">
      <c r="A77" s="17">
        <f>A76+12</f>
        <v>42</v>
      </c>
      <c r="B77" s="11">
        <v>0.28000000000000003</v>
      </c>
      <c r="C77" s="11">
        <v>0.41</v>
      </c>
      <c r="D77" s="11">
        <v>0.38</v>
      </c>
      <c r="E77" s="17">
        <f>E76+12</f>
        <v>42</v>
      </c>
      <c r="F77" s="11">
        <v>0.6</v>
      </c>
      <c r="G77" s="11">
        <v>0.67</v>
      </c>
      <c r="H77" s="11">
        <v>0.57999999999999996</v>
      </c>
      <c r="I77" s="17">
        <f>I76+12</f>
        <v>42</v>
      </c>
      <c r="J77" s="11">
        <v>0.45</v>
      </c>
      <c r="K77" s="11">
        <v>0.28000000000000003</v>
      </c>
      <c r="L77" s="11">
        <v>0.27</v>
      </c>
      <c r="M77" s="17">
        <f>M76+12</f>
        <v>42</v>
      </c>
      <c r="N77" s="11">
        <v>0.5</v>
      </c>
      <c r="O77" s="11">
        <v>0.47</v>
      </c>
      <c r="P77" s="11">
        <v>0.4</v>
      </c>
      <c r="Q77" s="17">
        <f>Q76+12</f>
        <v>42</v>
      </c>
      <c r="R77">
        <v>0.56000000000000005</v>
      </c>
      <c r="S77">
        <v>0.62</v>
      </c>
      <c r="T77">
        <v>0.6</v>
      </c>
      <c r="U77" s="12"/>
    </row>
    <row r="78" spans="1:28" x14ac:dyDescent="0.25">
      <c r="A78" s="17">
        <f>A77+12</f>
        <v>54</v>
      </c>
      <c r="B78" s="11">
        <v>0.38</v>
      </c>
      <c r="C78" s="11">
        <v>0.42</v>
      </c>
      <c r="D78" s="11">
        <v>0.44</v>
      </c>
      <c r="E78" s="17">
        <f>E77+12</f>
        <v>54</v>
      </c>
      <c r="F78" s="11">
        <v>1.03</v>
      </c>
      <c r="G78" s="11">
        <v>0.83</v>
      </c>
      <c r="H78" s="11">
        <v>0.72</v>
      </c>
      <c r="I78" s="17">
        <f>I77+12</f>
        <v>54</v>
      </c>
      <c r="J78" s="11">
        <v>0.53</v>
      </c>
      <c r="K78" s="11">
        <v>0.47</v>
      </c>
      <c r="L78" s="11">
        <v>0.42</v>
      </c>
      <c r="M78" s="17">
        <f>M77+12</f>
        <v>54</v>
      </c>
      <c r="N78" s="11">
        <v>0.49</v>
      </c>
      <c r="O78" s="11">
        <v>0.56999999999999995</v>
      </c>
      <c r="P78" s="11">
        <v>0.63</v>
      </c>
      <c r="Q78" s="17">
        <f>Q77+12</f>
        <v>54</v>
      </c>
      <c r="R78">
        <v>0.97</v>
      </c>
      <c r="S78">
        <v>0.93</v>
      </c>
      <c r="T78">
        <v>0.95</v>
      </c>
      <c r="U78" s="12"/>
    </row>
    <row r="79" spans="1:28" x14ac:dyDescent="0.25">
      <c r="A79" s="17">
        <f>A78+12</f>
        <v>66</v>
      </c>
      <c r="B79" s="11">
        <v>0.34</v>
      </c>
      <c r="C79" s="11">
        <v>0.42</v>
      </c>
      <c r="D79" s="11">
        <v>0.56000000000000005</v>
      </c>
      <c r="E79" s="17">
        <f>E78+12</f>
        <v>66</v>
      </c>
      <c r="F79" s="11">
        <v>1.1200000000000001</v>
      </c>
      <c r="G79" s="11">
        <v>0.92</v>
      </c>
      <c r="H79" s="11">
        <v>0.98</v>
      </c>
      <c r="I79" s="17">
        <f>I78+12</f>
        <v>66</v>
      </c>
      <c r="J79" s="11">
        <v>0.45</v>
      </c>
      <c r="K79" s="11">
        <v>0.69</v>
      </c>
      <c r="L79" s="11">
        <v>0.66</v>
      </c>
      <c r="M79" s="17">
        <f>M78+12</f>
        <v>66</v>
      </c>
      <c r="N79" s="11">
        <v>0.47</v>
      </c>
      <c r="O79" s="11">
        <v>0.68</v>
      </c>
      <c r="P79" s="11">
        <v>0.6</v>
      </c>
      <c r="Q79" s="17">
        <f>Q78+12</f>
        <v>66</v>
      </c>
      <c r="R79">
        <v>1.06</v>
      </c>
      <c r="S79">
        <v>1.0900000000000001</v>
      </c>
      <c r="T79">
        <v>1.51</v>
      </c>
      <c r="U79" s="11"/>
    </row>
    <row r="80" spans="1:28" x14ac:dyDescent="0.25">
      <c r="A80" s="17">
        <f>A79+12</f>
        <v>78</v>
      </c>
      <c r="B80" s="11">
        <v>0.57999999999999996</v>
      </c>
      <c r="C80" s="11">
        <v>0.68</v>
      </c>
      <c r="D80" s="11">
        <v>0.95</v>
      </c>
      <c r="E80" s="17">
        <f>E79+12</f>
        <v>78</v>
      </c>
      <c r="F80" s="11">
        <v>1.28</v>
      </c>
      <c r="G80" s="11">
        <v>1.52</v>
      </c>
      <c r="H80" s="11">
        <v>1.07</v>
      </c>
      <c r="I80" s="17">
        <f>I79+12</f>
        <v>78</v>
      </c>
      <c r="J80" s="11">
        <v>0.75</v>
      </c>
      <c r="K80" s="11">
        <v>0.83</v>
      </c>
      <c r="L80" s="11">
        <v>0.62</v>
      </c>
      <c r="M80" s="17">
        <f>M79+12</f>
        <v>78</v>
      </c>
      <c r="N80" s="11">
        <v>0.79</v>
      </c>
      <c r="O80" s="11">
        <v>0.66</v>
      </c>
      <c r="P80" s="11">
        <v>0.66</v>
      </c>
      <c r="Q80" s="17">
        <f>Q79+12</f>
        <v>78</v>
      </c>
      <c r="R80">
        <v>1.99</v>
      </c>
      <c r="S80">
        <v>1.99</v>
      </c>
      <c r="T80">
        <v>2.0099999999999998</v>
      </c>
      <c r="U80" s="11"/>
    </row>
    <row r="81" spans="1:21" x14ac:dyDescent="0.25">
      <c r="A81" s="17">
        <f>A80+12</f>
        <v>90</v>
      </c>
      <c r="B81" s="11">
        <v>1.03</v>
      </c>
      <c r="C81" s="11">
        <v>1.02</v>
      </c>
      <c r="D81" s="11">
        <v>1.35</v>
      </c>
      <c r="E81" s="17">
        <f>E80+12</f>
        <v>90</v>
      </c>
      <c r="F81" s="11">
        <v>1.82</v>
      </c>
      <c r="G81" s="11">
        <v>1.82</v>
      </c>
      <c r="H81" s="11">
        <v>1.53</v>
      </c>
      <c r="I81" s="17">
        <f>I80+12</f>
        <v>90</v>
      </c>
      <c r="J81" s="11">
        <v>1.3</v>
      </c>
      <c r="K81" s="11">
        <v>1.1399999999999999</v>
      </c>
      <c r="L81" s="11">
        <v>1.17</v>
      </c>
      <c r="M81" s="17">
        <f>M80+12</f>
        <v>90</v>
      </c>
      <c r="N81" s="11">
        <v>0.69</v>
      </c>
      <c r="O81" s="11">
        <v>0.56000000000000005</v>
      </c>
      <c r="P81" s="11">
        <v>1</v>
      </c>
      <c r="Q81" s="17">
        <f>Q80+12</f>
        <v>90</v>
      </c>
      <c r="R81">
        <v>2.12</v>
      </c>
      <c r="S81">
        <v>2.27</v>
      </c>
      <c r="T81">
        <v>2.12</v>
      </c>
      <c r="U81" s="12"/>
    </row>
    <row r="82" spans="1:21" x14ac:dyDescent="0.25">
      <c r="A82" s="17">
        <v>162</v>
      </c>
      <c r="B82" s="12">
        <v>1.75</v>
      </c>
      <c r="C82" s="12">
        <v>1.65</v>
      </c>
      <c r="D82" s="12">
        <v>1.69</v>
      </c>
      <c r="E82" s="17">
        <v>162</v>
      </c>
      <c r="F82" s="12">
        <v>1.88</v>
      </c>
      <c r="G82" s="12">
        <v>2.85</v>
      </c>
      <c r="H82" s="12">
        <v>2.2999999999999998</v>
      </c>
      <c r="I82" s="17">
        <v>162</v>
      </c>
      <c r="J82" s="12">
        <v>1.44</v>
      </c>
      <c r="K82" s="12">
        <v>1.45</v>
      </c>
      <c r="L82" s="12">
        <v>1.46</v>
      </c>
      <c r="M82" s="17">
        <v>162</v>
      </c>
      <c r="N82" s="12">
        <v>1</v>
      </c>
      <c r="O82" s="12">
        <v>1.04</v>
      </c>
      <c r="P82" s="12">
        <v>0.98</v>
      </c>
      <c r="Q82" s="17">
        <v>162</v>
      </c>
      <c r="R82">
        <v>2.2000000000000002</v>
      </c>
      <c r="S82">
        <v>2.1800000000000002</v>
      </c>
      <c r="T82">
        <v>2.25</v>
      </c>
      <c r="U82" s="12"/>
    </row>
    <row r="83" spans="1:21" x14ac:dyDescent="0.25">
      <c r="K83" s="6"/>
      <c r="L83" s="9"/>
      <c r="N83" s="11"/>
      <c r="O83" s="11"/>
      <c r="P83" s="11"/>
      <c r="Q83" s="11"/>
      <c r="R83" s="11"/>
      <c r="S83" s="11"/>
      <c r="T83" s="11"/>
      <c r="U83" s="12"/>
    </row>
    <row r="84" spans="1:21" x14ac:dyDescent="0.25">
      <c r="A84" s="8" t="s">
        <v>34</v>
      </c>
      <c r="B84" s="7" t="s">
        <v>2</v>
      </c>
      <c r="C84" s="7"/>
      <c r="D84" s="7"/>
      <c r="E84" s="8" t="s">
        <v>35</v>
      </c>
      <c r="F84" s="7" t="s">
        <v>2</v>
      </c>
      <c r="G84" s="7"/>
      <c r="H84" s="7"/>
      <c r="I84" s="8" t="s">
        <v>36</v>
      </c>
      <c r="J84" s="7" t="s">
        <v>2</v>
      </c>
      <c r="K84" s="7"/>
      <c r="L84" s="7"/>
      <c r="N84" s="11"/>
      <c r="O84" s="11"/>
      <c r="P84" s="11"/>
      <c r="Q84" s="11"/>
      <c r="R84" s="11"/>
      <c r="S84" s="11"/>
      <c r="T84" s="11"/>
      <c r="U84" s="11"/>
    </row>
    <row r="85" spans="1:21" x14ac:dyDescent="0.25">
      <c r="A85" t="s">
        <v>3</v>
      </c>
      <c r="B85">
        <v>1</v>
      </c>
      <c r="C85">
        <v>2</v>
      </c>
      <c r="D85">
        <v>3</v>
      </c>
      <c r="E85" t="s">
        <v>3</v>
      </c>
      <c r="F85">
        <v>1</v>
      </c>
      <c r="G85">
        <v>2</v>
      </c>
      <c r="H85">
        <v>3</v>
      </c>
      <c r="I85" t="s">
        <v>3</v>
      </c>
      <c r="J85">
        <v>1</v>
      </c>
      <c r="K85">
        <v>2</v>
      </c>
      <c r="L85">
        <v>3</v>
      </c>
      <c r="N85" s="11"/>
      <c r="O85" s="11"/>
      <c r="P85" s="11"/>
      <c r="Q85" s="11"/>
      <c r="R85" s="11"/>
      <c r="S85" s="11"/>
      <c r="T85" s="11"/>
      <c r="U85" s="11"/>
    </row>
    <row r="86" spans="1:21" x14ac:dyDescent="0.25">
      <c r="A86">
        <v>0</v>
      </c>
      <c r="B86">
        <v>0.2</v>
      </c>
      <c r="C86">
        <v>0.2</v>
      </c>
      <c r="D86">
        <v>0.2</v>
      </c>
      <c r="E86">
        <v>0</v>
      </c>
      <c r="F86">
        <v>0.2</v>
      </c>
      <c r="G86">
        <v>0.2</v>
      </c>
      <c r="H86">
        <v>0.2</v>
      </c>
      <c r="I86">
        <v>0</v>
      </c>
      <c r="J86">
        <v>0.2</v>
      </c>
      <c r="K86">
        <v>0.2</v>
      </c>
      <c r="L86">
        <v>0.2</v>
      </c>
    </row>
    <row r="87" spans="1:21" x14ac:dyDescent="0.25">
      <c r="A87" s="17">
        <v>18</v>
      </c>
      <c r="B87" s="11">
        <v>0.17</v>
      </c>
      <c r="C87" s="11">
        <v>0.16</v>
      </c>
      <c r="D87" s="11">
        <v>0.19</v>
      </c>
      <c r="E87" s="17">
        <v>18</v>
      </c>
      <c r="F87" s="11">
        <v>0.15</v>
      </c>
      <c r="G87" s="11">
        <v>0.18</v>
      </c>
      <c r="H87" s="11">
        <v>0.16</v>
      </c>
      <c r="I87" s="17">
        <v>18</v>
      </c>
      <c r="J87" s="11">
        <v>0.19</v>
      </c>
      <c r="K87" s="11">
        <v>0.13</v>
      </c>
      <c r="L87" s="11">
        <v>0.14000000000000001</v>
      </c>
    </row>
    <row r="88" spans="1:21" x14ac:dyDescent="0.25">
      <c r="A88" s="17">
        <f>A87+12</f>
        <v>30</v>
      </c>
      <c r="B88">
        <v>0.09</v>
      </c>
      <c r="C88">
        <v>7.0000000000000007E-2</v>
      </c>
      <c r="D88">
        <v>0.05</v>
      </c>
      <c r="E88" s="17">
        <f>E87+12</f>
        <v>30</v>
      </c>
      <c r="F88">
        <v>0.15</v>
      </c>
      <c r="G88">
        <v>0.15</v>
      </c>
      <c r="H88">
        <v>0.17</v>
      </c>
      <c r="I88" s="17">
        <f>I87+12</f>
        <v>30</v>
      </c>
      <c r="J88">
        <v>0.13</v>
      </c>
      <c r="K88">
        <v>0.14000000000000001</v>
      </c>
      <c r="L88">
        <v>0.12</v>
      </c>
    </row>
    <row r="89" spans="1:21" x14ac:dyDescent="0.25">
      <c r="A89" s="17">
        <f>A88+12</f>
        <v>42</v>
      </c>
      <c r="B89">
        <v>0.2</v>
      </c>
      <c r="C89">
        <v>0.13</v>
      </c>
      <c r="D89">
        <v>0.18</v>
      </c>
      <c r="E89" s="17">
        <f>E88+12</f>
        <v>42</v>
      </c>
      <c r="F89">
        <v>0.17</v>
      </c>
      <c r="G89">
        <v>0.17</v>
      </c>
      <c r="H89">
        <v>0.22</v>
      </c>
      <c r="I89" s="17">
        <f>I88+12</f>
        <v>42</v>
      </c>
      <c r="J89">
        <v>0.23</v>
      </c>
      <c r="K89">
        <v>0.2</v>
      </c>
      <c r="L89">
        <v>0.22</v>
      </c>
      <c r="N89" s="11"/>
      <c r="O89" s="11"/>
      <c r="P89" s="11"/>
      <c r="Q89" s="11"/>
      <c r="R89" s="11"/>
      <c r="S89" s="11"/>
      <c r="T89" s="11"/>
      <c r="U89" s="11"/>
    </row>
    <row r="90" spans="1:21" x14ac:dyDescent="0.25">
      <c r="A90" s="17">
        <f>A89+12</f>
        <v>54</v>
      </c>
      <c r="B90">
        <v>0.18</v>
      </c>
      <c r="C90">
        <v>0.16</v>
      </c>
      <c r="D90">
        <v>0.12</v>
      </c>
      <c r="E90" s="17">
        <f>E89+12</f>
        <v>54</v>
      </c>
      <c r="F90">
        <v>0.18</v>
      </c>
      <c r="G90">
        <v>0.18</v>
      </c>
      <c r="H90">
        <v>0.18</v>
      </c>
      <c r="I90" s="17">
        <f>I89+12</f>
        <v>54</v>
      </c>
      <c r="J90">
        <v>0.34</v>
      </c>
      <c r="K90">
        <v>0.28000000000000003</v>
      </c>
      <c r="L90">
        <v>0.33</v>
      </c>
      <c r="M90" s="15"/>
      <c r="N90" s="16"/>
      <c r="O90" s="16"/>
      <c r="P90" s="16"/>
      <c r="Q90" s="16"/>
      <c r="R90" s="16"/>
      <c r="S90" s="16"/>
      <c r="T90" s="16"/>
      <c r="U90" s="16"/>
    </row>
    <row r="91" spans="1:21" x14ac:dyDescent="0.25">
      <c r="A91" s="17">
        <f>A90+12</f>
        <v>66</v>
      </c>
      <c r="B91">
        <v>0.2</v>
      </c>
      <c r="C91">
        <v>0.22</v>
      </c>
      <c r="D91">
        <v>0.25</v>
      </c>
      <c r="E91" s="17">
        <f>E90+12</f>
        <v>66</v>
      </c>
      <c r="F91">
        <v>0.36</v>
      </c>
      <c r="G91">
        <v>0.36</v>
      </c>
      <c r="H91">
        <v>0.27</v>
      </c>
      <c r="I91" s="17">
        <f>I90+12</f>
        <v>66</v>
      </c>
      <c r="J91">
        <v>0.36</v>
      </c>
      <c r="K91">
        <v>0.39</v>
      </c>
      <c r="L91">
        <v>0.44</v>
      </c>
    </row>
    <row r="92" spans="1:21" x14ac:dyDescent="0.25">
      <c r="A92" s="17">
        <f>A91+12</f>
        <v>78</v>
      </c>
      <c r="B92">
        <v>0.14000000000000001</v>
      </c>
      <c r="C92">
        <v>0.14000000000000001</v>
      </c>
      <c r="D92">
        <v>0.23</v>
      </c>
      <c r="E92" s="17">
        <f>E91+12</f>
        <v>78</v>
      </c>
      <c r="F92">
        <v>0.2</v>
      </c>
      <c r="G92">
        <v>0.11</v>
      </c>
      <c r="H92">
        <v>0.17</v>
      </c>
      <c r="I92" s="17">
        <f>I91+12</f>
        <v>78</v>
      </c>
      <c r="J92">
        <v>0.57999999999999996</v>
      </c>
      <c r="K92">
        <v>0.55000000000000004</v>
      </c>
      <c r="L92">
        <v>0.56000000000000005</v>
      </c>
    </row>
    <row r="93" spans="1:21" x14ac:dyDescent="0.25">
      <c r="A93" s="17">
        <f>A92+12</f>
        <v>90</v>
      </c>
      <c r="B93">
        <v>0.2</v>
      </c>
      <c r="C93">
        <v>0.25</v>
      </c>
      <c r="D93">
        <v>0.2</v>
      </c>
      <c r="E93" s="17">
        <f>E92+12</f>
        <v>90</v>
      </c>
      <c r="F93">
        <v>0.51</v>
      </c>
      <c r="G93">
        <v>0.57999999999999996</v>
      </c>
      <c r="H93">
        <v>0.62</v>
      </c>
      <c r="I93" s="17">
        <f>I92+12</f>
        <v>90</v>
      </c>
      <c r="J93">
        <v>1.1100000000000001</v>
      </c>
      <c r="K93">
        <v>1.08</v>
      </c>
      <c r="L93">
        <v>1</v>
      </c>
      <c r="N93" s="11"/>
    </row>
    <row r="94" spans="1:21" x14ac:dyDescent="0.25">
      <c r="A94" s="17">
        <v>162</v>
      </c>
      <c r="B94">
        <v>1.68</v>
      </c>
      <c r="C94">
        <v>1.91</v>
      </c>
      <c r="D94">
        <v>1.62</v>
      </c>
      <c r="E94" s="17">
        <v>162</v>
      </c>
      <c r="F94">
        <v>1.91</v>
      </c>
      <c r="G94">
        <v>2.04</v>
      </c>
      <c r="H94">
        <v>1.88</v>
      </c>
      <c r="I94" s="17">
        <v>162</v>
      </c>
      <c r="J94">
        <v>2.76</v>
      </c>
      <c r="K94">
        <v>2.68</v>
      </c>
      <c r="L94">
        <v>2.83</v>
      </c>
      <c r="N94" s="11"/>
    </row>
    <row r="95" spans="1:21" x14ac:dyDescent="0.25">
      <c r="K95" s="6"/>
      <c r="L95" s="9"/>
      <c r="N95" s="11"/>
    </row>
    <row r="96" spans="1:21" x14ac:dyDescent="0.25">
      <c r="K96" s="6"/>
      <c r="L96" s="9"/>
    </row>
    <row r="97" spans="1:21" x14ac:dyDescent="0.25">
      <c r="A97" s="8" t="s">
        <v>37</v>
      </c>
      <c r="B97" s="7" t="s">
        <v>2</v>
      </c>
      <c r="C97" s="7"/>
      <c r="D97" s="7"/>
      <c r="E97" s="8" t="s">
        <v>38</v>
      </c>
      <c r="F97" s="7" t="s">
        <v>2</v>
      </c>
      <c r="G97" s="7"/>
      <c r="H97" s="7"/>
      <c r="I97" s="8" t="s">
        <v>39</v>
      </c>
      <c r="J97" s="7" t="s">
        <v>2</v>
      </c>
      <c r="K97" s="7"/>
      <c r="L97" s="7"/>
    </row>
    <row r="98" spans="1:21" x14ac:dyDescent="0.25">
      <c r="A98" t="s">
        <v>3</v>
      </c>
      <c r="B98">
        <v>1</v>
      </c>
      <c r="C98">
        <v>2</v>
      </c>
      <c r="D98">
        <v>3</v>
      </c>
      <c r="E98" t="s">
        <v>3</v>
      </c>
      <c r="F98">
        <v>1</v>
      </c>
      <c r="G98">
        <v>2</v>
      </c>
      <c r="H98">
        <v>3</v>
      </c>
      <c r="I98" t="s">
        <v>3</v>
      </c>
      <c r="J98">
        <v>1</v>
      </c>
      <c r="K98">
        <v>2</v>
      </c>
      <c r="L98">
        <v>3</v>
      </c>
      <c r="N98" s="11"/>
    </row>
    <row r="99" spans="1:21" x14ac:dyDescent="0.25">
      <c r="A99">
        <v>0</v>
      </c>
      <c r="B99">
        <v>0.2</v>
      </c>
      <c r="C99">
        <v>0.2</v>
      </c>
      <c r="D99">
        <v>0.2</v>
      </c>
      <c r="E99">
        <v>0</v>
      </c>
      <c r="F99">
        <v>0.2</v>
      </c>
      <c r="G99">
        <v>0.2</v>
      </c>
      <c r="H99">
        <v>0.2</v>
      </c>
      <c r="I99">
        <v>0</v>
      </c>
      <c r="J99">
        <v>0.2</v>
      </c>
      <c r="K99">
        <v>0.2</v>
      </c>
      <c r="L99">
        <v>0.2</v>
      </c>
      <c r="N99" s="11"/>
    </row>
    <row r="100" spans="1:21" x14ac:dyDescent="0.25">
      <c r="A100" s="17">
        <v>18</v>
      </c>
      <c r="B100">
        <v>0.25</v>
      </c>
      <c r="C100">
        <v>0.28999999999999998</v>
      </c>
      <c r="D100">
        <v>0.32</v>
      </c>
      <c r="E100" s="17">
        <v>18</v>
      </c>
      <c r="F100">
        <v>0.16</v>
      </c>
      <c r="G100">
        <v>0.18</v>
      </c>
      <c r="H100">
        <v>0.16</v>
      </c>
      <c r="I100" s="17">
        <v>18</v>
      </c>
      <c r="J100">
        <v>0.18</v>
      </c>
      <c r="K100">
        <v>0.18</v>
      </c>
      <c r="L100">
        <v>0.2</v>
      </c>
      <c r="N100" s="11"/>
    </row>
    <row r="101" spans="1:21" x14ac:dyDescent="0.25">
      <c r="A101" s="17">
        <f>A100+12</f>
        <v>30</v>
      </c>
      <c r="B101">
        <v>0.4</v>
      </c>
      <c r="C101">
        <v>0.52</v>
      </c>
      <c r="D101">
        <v>0.46</v>
      </c>
      <c r="E101" s="17">
        <f>E100+12</f>
        <v>30</v>
      </c>
      <c r="F101">
        <v>0.19</v>
      </c>
      <c r="G101">
        <v>0.18</v>
      </c>
      <c r="H101">
        <v>0.2</v>
      </c>
      <c r="I101" s="17">
        <f>I100+12</f>
        <v>30</v>
      </c>
      <c r="J101">
        <v>0.2</v>
      </c>
      <c r="K101">
        <v>0.23</v>
      </c>
      <c r="L101">
        <v>0.21</v>
      </c>
      <c r="N101" s="11"/>
      <c r="O101" s="11"/>
      <c r="P101" s="11"/>
      <c r="Q101" s="11"/>
      <c r="R101" s="11"/>
      <c r="S101" s="11"/>
      <c r="T101" s="11"/>
      <c r="U101" s="11"/>
    </row>
    <row r="102" spans="1:21" x14ac:dyDescent="0.25">
      <c r="A102" s="17">
        <f>A101+12</f>
        <v>42</v>
      </c>
      <c r="B102">
        <v>0.71</v>
      </c>
      <c r="C102">
        <v>0.69</v>
      </c>
      <c r="D102">
        <v>0.6</v>
      </c>
      <c r="E102" s="17">
        <f>E101+12</f>
        <v>42</v>
      </c>
      <c r="F102">
        <v>0.21</v>
      </c>
      <c r="G102">
        <v>0.2</v>
      </c>
      <c r="H102">
        <v>0.17</v>
      </c>
      <c r="I102" s="17">
        <f>I101+12</f>
        <v>42</v>
      </c>
      <c r="J102">
        <v>0.47</v>
      </c>
      <c r="K102">
        <v>0.32</v>
      </c>
      <c r="L102">
        <v>0.45</v>
      </c>
    </row>
    <row r="103" spans="1:21" x14ac:dyDescent="0.25">
      <c r="A103" s="17">
        <f>A102+12</f>
        <v>54</v>
      </c>
      <c r="B103">
        <v>0.89</v>
      </c>
      <c r="C103">
        <v>0.87</v>
      </c>
      <c r="D103">
        <v>0.89</v>
      </c>
      <c r="E103" s="17">
        <f>E102+12</f>
        <v>54</v>
      </c>
      <c r="F103">
        <v>0.31</v>
      </c>
      <c r="G103">
        <v>0.3</v>
      </c>
      <c r="H103">
        <v>0.3</v>
      </c>
      <c r="I103" s="17">
        <f>I102+12</f>
        <v>54</v>
      </c>
      <c r="J103">
        <v>0.85</v>
      </c>
      <c r="K103">
        <v>0.74</v>
      </c>
      <c r="L103">
        <v>0.73</v>
      </c>
      <c r="N103" s="11"/>
    </row>
    <row r="104" spans="1:21" x14ac:dyDescent="0.25">
      <c r="A104" s="17">
        <f>A103+12</f>
        <v>66</v>
      </c>
      <c r="B104">
        <v>0.8</v>
      </c>
      <c r="C104">
        <v>0.9</v>
      </c>
      <c r="D104">
        <v>0.86</v>
      </c>
      <c r="E104" s="17">
        <f>E103+12</f>
        <v>66</v>
      </c>
      <c r="F104">
        <v>0.36</v>
      </c>
      <c r="G104">
        <v>0.3</v>
      </c>
      <c r="H104">
        <v>0.45</v>
      </c>
      <c r="I104" s="17">
        <f>I103+12</f>
        <v>66</v>
      </c>
      <c r="J104">
        <v>0.86</v>
      </c>
      <c r="K104">
        <v>0.86</v>
      </c>
      <c r="L104">
        <v>0.93</v>
      </c>
      <c r="N104" s="11"/>
    </row>
    <row r="105" spans="1:21" x14ac:dyDescent="0.25">
      <c r="A105" s="17">
        <f>A104+12</f>
        <v>78</v>
      </c>
      <c r="B105">
        <v>0.71</v>
      </c>
      <c r="C105">
        <v>0.92</v>
      </c>
      <c r="D105">
        <v>0.78</v>
      </c>
      <c r="E105" s="17">
        <f>E104+12</f>
        <v>78</v>
      </c>
      <c r="F105">
        <v>0.56999999999999995</v>
      </c>
      <c r="G105">
        <v>0.71</v>
      </c>
      <c r="H105">
        <v>0.67</v>
      </c>
      <c r="I105" s="17">
        <f>I104+12</f>
        <v>78</v>
      </c>
      <c r="J105">
        <v>1.05</v>
      </c>
      <c r="K105">
        <v>0.81</v>
      </c>
      <c r="L105">
        <v>0.93</v>
      </c>
      <c r="N105" s="11"/>
    </row>
    <row r="106" spans="1:21" x14ac:dyDescent="0.25">
      <c r="A106" s="17">
        <f>A105+12</f>
        <v>90</v>
      </c>
      <c r="B106">
        <v>0.8</v>
      </c>
      <c r="C106">
        <v>0.68</v>
      </c>
      <c r="D106">
        <v>0.79</v>
      </c>
      <c r="E106" s="17">
        <f>E105+12</f>
        <v>90</v>
      </c>
      <c r="F106">
        <v>0.81</v>
      </c>
      <c r="G106">
        <v>0.81</v>
      </c>
      <c r="H106">
        <v>0.65</v>
      </c>
      <c r="I106" s="17">
        <f>I105+12</f>
        <v>90</v>
      </c>
      <c r="J106">
        <v>0.94</v>
      </c>
      <c r="K106">
        <v>0.84</v>
      </c>
      <c r="L106">
        <v>0.82</v>
      </c>
      <c r="N106" s="11"/>
      <c r="O106" s="11"/>
      <c r="P106" s="11"/>
      <c r="Q106" s="11"/>
      <c r="R106" s="11"/>
      <c r="S106" s="11"/>
      <c r="T106" s="11"/>
      <c r="U106" s="11"/>
    </row>
    <row r="107" spans="1:21" x14ac:dyDescent="0.25">
      <c r="A107" s="17">
        <v>162</v>
      </c>
      <c r="B107">
        <v>0.75</v>
      </c>
      <c r="C107">
        <v>0.75</v>
      </c>
      <c r="D107">
        <v>0.76</v>
      </c>
      <c r="E107" s="17">
        <v>162</v>
      </c>
      <c r="F107">
        <v>0.87</v>
      </c>
      <c r="G107">
        <v>0.83</v>
      </c>
      <c r="H107">
        <v>0.86</v>
      </c>
      <c r="I107" s="17">
        <v>162</v>
      </c>
      <c r="J107">
        <v>0.93</v>
      </c>
      <c r="K107">
        <v>0.92</v>
      </c>
      <c r="L107">
        <v>0.95</v>
      </c>
      <c r="N107" s="11"/>
      <c r="O107" s="11"/>
      <c r="P107" s="11"/>
      <c r="Q107" s="11"/>
      <c r="R107" s="11"/>
      <c r="S107" s="11"/>
      <c r="T107" s="11"/>
      <c r="U107" s="11"/>
    </row>
    <row r="108" spans="1:21" x14ac:dyDescent="0.25">
      <c r="K108" s="13"/>
      <c r="L108" s="14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 x14ac:dyDescent="0.25">
      <c r="K109" s="6"/>
      <c r="L109" s="9"/>
    </row>
    <row r="110" spans="1:21" x14ac:dyDescent="0.25">
      <c r="K110" s="6"/>
      <c r="L110" s="9"/>
    </row>
    <row r="111" spans="1:21" x14ac:dyDescent="0.25">
      <c r="K111" s="6"/>
      <c r="L111" s="9"/>
    </row>
    <row r="112" spans="1:21" x14ac:dyDescent="0.25">
      <c r="K112" s="6"/>
      <c r="L112" s="9"/>
    </row>
    <row r="113" spans="11:21" x14ac:dyDescent="0.25">
      <c r="K113" s="6"/>
      <c r="L113" s="9"/>
    </row>
    <row r="114" spans="11:21" x14ac:dyDescent="0.25">
      <c r="K114" s="6"/>
      <c r="L114" s="9"/>
    </row>
    <row r="115" spans="11:21" x14ac:dyDescent="0.25">
      <c r="K115" s="6"/>
      <c r="L115" s="9"/>
    </row>
    <row r="116" spans="11:21" x14ac:dyDescent="0.25">
      <c r="K116" s="6"/>
      <c r="L116" s="9"/>
    </row>
    <row r="117" spans="11:21" x14ac:dyDescent="0.25">
      <c r="K117" s="6"/>
      <c r="L117" s="9"/>
    </row>
    <row r="118" spans="11:21" x14ac:dyDescent="0.25">
      <c r="K118" s="6"/>
      <c r="L118" s="9"/>
    </row>
    <row r="119" spans="11:21" x14ac:dyDescent="0.25">
      <c r="K119" s="6"/>
      <c r="L119" s="9"/>
    </row>
    <row r="120" spans="11:21" x14ac:dyDescent="0.25">
      <c r="K120" s="6"/>
      <c r="L120" s="9"/>
    </row>
    <row r="121" spans="11:21" x14ac:dyDescent="0.25">
      <c r="K121" s="6"/>
      <c r="L121" s="9"/>
    </row>
    <row r="122" spans="11:21" x14ac:dyDescent="0.25">
      <c r="K122" s="6"/>
      <c r="L122" s="9"/>
    </row>
    <row r="123" spans="11:21" x14ac:dyDescent="0.25">
      <c r="K123" s="6"/>
      <c r="L123" s="9"/>
    </row>
    <row r="124" spans="11:21" x14ac:dyDescent="0.25">
      <c r="K124" s="6"/>
      <c r="L124" s="9"/>
    </row>
    <row r="125" spans="11:21" x14ac:dyDescent="0.25">
      <c r="K125" s="6"/>
      <c r="L125" s="9"/>
    </row>
    <row r="126" spans="11:21" x14ac:dyDescent="0.25">
      <c r="K126" s="6"/>
      <c r="L126" s="9"/>
    </row>
    <row r="127" spans="11:21" x14ac:dyDescent="0.25">
      <c r="K127" s="13"/>
      <c r="L127" s="14"/>
      <c r="M127" s="15"/>
      <c r="N127" s="15"/>
      <c r="O127" s="15"/>
      <c r="P127" s="15"/>
      <c r="Q127" s="15"/>
      <c r="R127" s="15"/>
      <c r="S127" s="15"/>
      <c r="T127" s="15"/>
      <c r="U127" s="15"/>
    </row>
    <row r="161" spans="1:4" x14ac:dyDescent="0.25">
      <c r="A161" s="7" t="s">
        <v>1</v>
      </c>
      <c r="B161" s="7"/>
      <c r="C161" s="7"/>
      <c r="D161" s="7"/>
    </row>
    <row r="162" spans="1:4" x14ac:dyDescent="0.25">
      <c r="A162" t="s">
        <v>7</v>
      </c>
      <c r="B162" s="7" t="s">
        <v>2</v>
      </c>
      <c r="C162" s="7"/>
      <c r="D162" s="7"/>
    </row>
    <row r="163" spans="1:4" x14ac:dyDescent="0.25">
      <c r="A163" t="s">
        <v>3</v>
      </c>
      <c r="B163">
        <v>1</v>
      </c>
      <c r="C163">
        <v>2</v>
      </c>
      <c r="D163">
        <v>3</v>
      </c>
    </row>
  </sheetData>
  <mergeCells count="29">
    <mergeCell ref="A161:D161"/>
    <mergeCell ref="B162:D162"/>
    <mergeCell ref="B2:D2"/>
    <mergeCell ref="F2:H2"/>
    <mergeCell ref="R2:T2"/>
    <mergeCell ref="B72:D72"/>
    <mergeCell ref="F72:H72"/>
    <mergeCell ref="J72:L72"/>
    <mergeCell ref="N72:P72"/>
    <mergeCell ref="R72:T72"/>
    <mergeCell ref="F84:H84"/>
    <mergeCell ref="B84:D84"/>
    <mergeCell ref="J84:L84"/>
    <mergeCell ref="B97:D97"/>
    <mergeCell ref="F97:H97"/>
    <mergeCell ref="J97:L97"/>
    <mergeCell ref="Z45:AB45"/>
    <mergeCell ref="A44:AB44"/>
    <mergeCell ref="Z2:AB2"/>
    <mergeCell ref="A1:X1"/>
    <mergeCell ref="B45:D45"/>
    <mergeCell ref="F45:H45"/>
    <mergeCell ref="J45:L45"/>
    <mergeCell ref="N45:P45"/>
    <mergeCell ref="R45:T45"/>
    <mergeCell ref="V45:X45"/>
    <mergeCell ref="J2:L2"/>
    <mergeCell ref="N2:P2"/>
    <mergeCell ref="V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92A2-A34A-4A4C-A612-D963EF296CFD}">
  <dimension ref="A1:E739"/>
  <sheetViews>
    <sheetView workbookViewId="0">
      <pane ySplit="1" topLeftCell="A130" activePane="bottomLeft" state="frozen"/>
      <selection pane="bottomLeft" activeCell="O673" sqref="O673"/>
    </sheetView>
  </sheetViews>
  <sheetFormatPr defaultRowHeight="15" x14ac:dyDescent="0.25"/>
  <cols>
    <col min="1" max="1" width="9.5703125" style="6" bestFit="1" customWidth="1"/>
    <col min="2" max="2" width="10" bestFit="1" customWidth="1"/>
    <col min="3" max="3" width="10.140625" style="6" bestFit="1" customWidth="1"/>
    <col min="4" max="4" width="9.140625" style="6"/>
  </cols>
  <sheetData>
    <row r="1" spans="1:5" x14ac:dyDescent="0.25">
      <c r="A1" s="6" t="s">
        <v>13</v>
      </c>
      <c r="B1" t="s">
        <v>15</v>
      </c>
      <c r="C1" s="6" t="s">
        <v>14</v>
      </c>
      <c r="D1" s="6" t="s">
        <v>3</v>
      </c>
      <c r="E1" t="s">
        <v>12</v>
      </c>
    </row>
    <row r="2" spans="1:5" x14ac:dyDescent="0.25">
      <c r="A2" s="6" t="s">
        <v>16</v>
      </c>
      <c r="B2" s="6" t="s">
        <v>1</v>
      </c>
      <c r="C2" s="6">
        <v>1</v>
      </c>
      <c r="D2" s="6">
        <v>0</v>
      </c>
      <c r="E2">
        <v>0.2</v>
      </c>
    </row>
    <row r="3" spans="1:5" x14ac:dyDescent="0.25">
      <c r="A3" s="6" t="s">
        <v>16</v>
      </c>
      <c r="B3" s="6" t="s">
        <v>1</v>
      </c>
      <c r="C3" s="6">
        <v>1</v>
      </c>
      <c r="D3" s="6">
        <v>4</v>
      </c>
      <c r="E3">
        <v>0.29670999999999997</v>
      </c>
    </row>
    <row r="4" spans="1:5" x14ac:dyDescent="0.25">
      <c r="A4" s="6" t="s">
        <v>16</v>
      </c>
      <c r="B4" s="6" t="s">
        <v>1</v>
      </c>
      <c r="C4" s="6">
        <v>1</v>
      </c>
      <c r="D4" s="6">
        <v>8</v>
      </c>
      <c r="E4">
        <v>0.35493999999999998</v>
      </c>
    </row>
    <row r="5" spans="1:5" x14ac:dyDescent="0.25">
      <c r="A5" s="6" t="s">
        <v>16</v>
      </c>
      <c r="B5" s="6" t="s">
        <v>1</v>
      </c>
      <c r="C5" s="6">
        <v>1</v>
      </c>
      <c r="D5" s="6">
        <v>12</v>
      </c>
      <c r="E5">
        <v>0.48032000000000002</v>
      </c>
    </row>
    <row r="6" spans="1:5" x14ac:dyDescent="0.25">
      <c r="A6" s="6" t="s">
        <v>16</v>
      </c>
      <c r="B6" s="6" t="s">
        <v>1</v>
      </c>
      <c r="C6" s="6">
        <v>1</v>
      </c>
      <c r="D6" s="6">
        <v>16</v>
      </c>
      <c r="E6">
        <v>0.56301999999999996</v>
      </c>
    </row>
    <row r="7" spans="1:5" x14ac:dyDescent="0.25">
      <c r="A7" s="6" t="s">
        <v>16</v>
      </c>
      <c r="B7" s="6" t="s">
        <v>1</v>
      </c>
      <c r="C7" s="6">
        <v>1</v>
      </c>
      <c r="D7" s="6">
        <v>20</v>
      </c>
      <c r="E7">
        <v>0.55984999999999996</v>
      </c>
    </row>
    <row r="8" spans="1:5" x14ac:dyDescent="0.25">
      <c r="A8" s="6" t="s">
        <v>16</v>
      </c>
      <c r="B8" s="6" t="s">
        <v>1</v>
      </c>
      <c r="C8" s="6">
        <v>1</v>
      </c>
      <c r="D8" s="6">
        <v>24</v>
      </c>
      <c r="E8">
        <v>0.55932999999999999</v>
      </c>
    </row>
    <row r="9" spans="1:5" x14ac:dyDescent="0.25">
      <c r="A9" s="6" t="s">
        <v>16</v>
      </c>
      <c r="B9" s="6" t="s">
        <v>1</v>
      </c>
      <c r="C9" s="6">
        <v>1</v>
      </c>
      <c r="D9" s="6">
        <v>28</v>
      </c>
      <c r="E9">
        <v>0.57974999999999999</v>
      </c>
    </row>
    <row r="10" spans="1:5" x14ac:dyDescent="0.25">
      <c r="A10" s="6" t="s">
        <v>16</v>
      </c>
      <c r="B10" s="6" t="s">
        <v>1</v>
      </c>
      <c r="C10" s="6">
        <v>1</v>
      </c>
      <c r="D10" s="6">
        <v>32</v>
      </c>
      <c r="E10">
        <v>0.57265999999999995</v>
      </c>
    </row>
    <row r="11" spans="1:5" x14ac:dyDescent="0.25">
      <c r="A11" s="6" t="s">
        <v>16</v>
      </c>
      <c r="B11" s="6" t="s">
        <v>1</v>
      </c>
      <c r="C11" s="6">
        <v>1</v>
      </c>
      <c r="D11" s="6">
        <v>36</v>
      </c>
      <c r="E11">
        <v>0.57320000000000004</v>
      </c>
    </row>
    <row r="12" spans="1:5" x14ac:dyDescent="0.25">
      <c r="A12" s="6" t="s">
        <v>16</v>
      </c>
      <c r="B12" s="6" t="s">
        <v>1</v>
      </c>
      <c r="C12" s="6">
        <v>1</v>
      </c>
      <c r="D12" s="6">
        <v>40</v>
      </c>
      <c r="E12">
        <v>0.57865999999999995</v>
      </c>
    </row>
    <row r="13" spans="1:5" x14ac:dyDescent="0.25">
      <c r="A13" s="6" t="s">
        <v>16</v>
      </c>
      <c r="B13" s="6" t="s">
        <v>1</v>
      </c>
      <c r="C13" s="6">
        <v>1</v>
      </c>
      <c r="D13" s="6">
        <v>44</v>
      </c>
      <c r="E13">
        <v>0.56460999999999995</v>
      </c>
    </row>
    <row r="14" spans="1:5" x14ac:dyDescent="0.25">
      <c r="A14" s="6" t="s">
        <v>16</v>
      </c>
      <c r="B14" s="6" t="s">
        <v>1</v>
      </c>
      <c r="C14" s="6">
        <v>1</v>
      </c>
      <c r="D14" s="6">
        <v>48</v>
      </c>
      <c r="E14">
        <v>0.56249000000000005</v>
      </c>
    </row>
    <row r="15" spans="1:5" x14ac:dyDescent="0.25">
      <c r="A15" s="6" t="s">
        <v>16</v>
      </c>
      <c r="B15" s="6" t="s">
        <v>1</v>
      </c>
      <c r="C15" s="6">
        <v>1</v>
      </c>
      <c r="D15" s="6">
        <v>52</v>
      </c>
      <c r="E15">
        <v>0.57428000000000001</v>
      </c>
    </row>
    <row r="16" spans="1:5" x14ac:dyDescent="0.25">
      <c r="A16" s="6" t="s">
        <v>16</v>
      </c>
      <c r="B16" s="6" t="s">
        <v>1</v>
      </c>
      <c r="C16" s="6">
        <v>1</v>
      </c>
      <c r="D16" s="6">
        <v>56</v>
      </c>
      <c r="E16">
        <v>0.56408000000000003</v>
      </c>
    </row>
    <row r="17" spans="1:5" x14ac:dyDescent="0.25">
      <c r="A17" s="6" t="s">
        <v>16</v>
      </c>
      <c r="B17" s="6" t="s">
        <v>1</v>
      </c>
      <c r="C17" s="6">
        <v>1</v>
      </c>
      <c r="D17" s="6">
        <v>60</v>
      </c>
      <c r="E17">
        <v>0.56301999999999996</v>
      </c>
    </row>
    <row r="18" spans="1:5" x14ac:dyDescent="0.25">
      <c r="A18" s="6" t="s">
        <v>16</v>
      </c>
      <c r="B18" s="6" t="s">
        <v>1</v>
      </c>
      <c r="C18" s="6">
        <v>1</v>
      </c>
      <c r="D18" s="6">
        <v>64</v>
      </c>
      <c r="E18">
        <v>0.56942000000000004</v>
      </c>
    </row>
    <row r="19" spans="1:5" x14ac:dyDescent="0.25">
      <c r="A19" s="6" t="s">
        <v>16</v>
      </c>
      <c r="B19" s="6" t="s">
        <v>1</v>
      </c>
      <c r="C19" s="6">
        <v>1</v>
      </c>
      <c r="D19" s="6">
        <v>68</v>
      </c>
      <c r="E19">
        <v>0.55774999999999997</v>
      </c>
    </row>
    <row r="20" spans="1:5" x14ac:dyDescent="0.25">
      <c r="A20" s="6" t="s">
        <v>16</v>
      </c>
      <c r="B20" s="6" t="s">
        <v>1</v>
      </c>
      <c r="C20" s="6">
        <v>1</v>
      </c>
      <c r="D20" s="6">
        <v>72</v>
      </c>
      <c r="E20">
        <v>0.56567000000000001</v>
      </c>
    </row>
    <row r="21" spans="1:5" x14ac:dyDescent="0.25">
      <c r="A21" s="6" t="s">
        <v>16</v>
      </c>
      <c r="B21" s="6" t="s">
        <v>1</v>
      </c>
      <c r="C21" s="6">
        <v>1</v>
      </c>
      <c r="D21" s="6">
        <v>76</v>
      </c>
      <c r="E21">
        <v>0.56567000000000001</v>
      </c>
    </row>
    <row r="22" spans="1:5" x14ac:dyDescent="0.25">
      <c r="A22" s="6" t="s">
        <v>16</v>
      </c>
      <c r="B22" s="6" t="s">
        <v>1</v>
      </c>
      <c r="C22" s="6">
        <v>1</v>
      </c>
      <c r="D22" s="6">
        <v>80</v>
      </c>
      <c r="E22">
        <v>0.56460999999999995</v>
      </c>
    </row>
    <row r="23" spans="1:5" x14ac:dyDescent="0.25">
      <c r="A23" s="6" t="s">
        <v>16</v>
      </c>
      <c r="B23" s="6" t="s">
        <v>1</v>
      </c>
      <c r="C23" s="6">
        <v>1</v>
      </c>
      <c r="D23" s="6">
        <v>84</v>
      </c>
      <c r="E23">
        <v>0.56620999999999999</v>
      </c>
    </row>
    <row r="24" spans="1:5" x14ac:dyDescent="0.25">
      <c r="A24" s="6" t="s">
        <v>16</v>
      </c>
      <c r="B24" s="6" t="s">
        <v>1</v>
      </c>
      <c r="C24" s="6">
        <v>1</v>
      </c>
      <c r="D24" s="6">
        <v>88</v>
      </c>
      <c r="E24">
        <v>0.57811000000000001</v>
      </c>
    </row>
    <row r="25" spans="1:5" x14ac:dyDescent="0.25">
      <c r="A25" s="6" t="s">
        <v>16</v>
      </c>
      <c r="B25" s="6" t="s">
        <v>1</v>
      </c>
      <c r="C25" s="6">
        <v>2</v>
      </c>
      <c r="D25" s="6">
        <v>0</v>
      </c>
      <c r="E25">
        <v>0.20799999999999999</v>
      </c>
    </row>
    <row r="26" spans="1:5" x14ac:dyDescent="0.25">
      <c r="A26" s="6" t="s">
        <v>16</v>
      </c>
      <c r="B26" s="6" t="s">
        <v>1</v>
      </c>
      <c r="C26" s="6">
        <v>2</v>
      </c>
      <c r="D26" s="6">
        <v>4</v>
      </c>
      <c r="E26">
        <v>0.24384</v>
      </c>
    </row>
    <row r="27" spans="1:5" x14ac:dyDescent="0.25">
      <c r="A27" s="6" t="s">
        <v>16</v>
      </c>
      <c r="B27" s="6" t="s">
        <v>1</v>
      </c>
      <c r="C27" s="6">
        <v>2</v>
      </c>
      <c r="D27" s="6">
        <v>8</v>
      </c>
      <c r="E27">
        <v>0.28931000000000001</v>
      </c>
    </row>
    <row r="28" spans="1:5" x14ac:dyDescent="0.25">
      <c r="A28" s="6" t="s">
        <v>16</v>
      </c>
      <c r="B28" s="6" t="s">
        <v>1</v>
      </c>
      <c r="C28" s="6">
        <v>2</v>
      </c>
      <c r="D28" s="6">
        <v>12</v>
      </c>
      <c r="E28">
        <v>0.33948</v>
      </c>
    </row>
    <row r="29" spans="1:5" x14ac:dyDescent="0.25">
      <c r="A29" s="6" t="s">
        <v>16</v>
      </c>
      <c r="B29" s="6" t="s">
        <v>1</v>
      </c>
      <c r="C29" s="6">
        <v>2</v>
      </c>
      <c r="D29" s="6">
        <v>16</v>
      </c>
      <c r="E29">
        <v>0.40789999999999998</v>
      </c>
    </row>
    <row r="30" spans="1:5" x14ac:dyDescent="0.25">
      <c r="A30" s="6" t="s">
        <v>16</v>
      </c>
      <c r="B30" s="6" t="s">
        <v>1</v>
      </c>
      <c r="C30" s="6">
        <v>2</v>
      </c>
      <c r="D30" s="6">
        <v>20</v>
      </c>
      <c r="E30">
        <v>0.50788</v>
      </c>
    </row>
    <row r="31" spans="1:5" x14ac:dyDescent="0.25">
      <c r="A31" s="6" t="s">
        <v>16</v>
      </c>
      <c r="B31" s="6" t="s">
        <v>1</v>
      </c>
      <c r="C31" s="6">
        <v>2</v>
      </c>
      <c r="D31" s="6">
        <v>24</v>
      </c>
      <c r="E31">
        <v>0.58921000000000001</v>
      </c>
    </row>
    <row r="32" spans="1:5" x14ac:dyDescent="0.25">
      <c r="A32" s="6" t="s">
        <v>16</v>
      </c>
      <c r="B32" s="6" t="s">
        <v>1</v>
      </c>
      <c r="C32" s="6">
        <v>2</v>
      </c>
      <c r="D32" s="6">
        <v>28</v>
      </c>
      <c r="E32">
        <v>0.60119</v>
      </c>
    </row>
    <row r="33" spans="1:5" x14ac:dyDescent="0.25">
      <c r="A33" s="6" t="s">
        <v>16</v>
      </c>
      <c r="B33" s="6" t="s">
        <v>1</v>
      </c>
      <c r="C33" s="6">
        <v>2</v>
      </c>
      <c r="D33" s="6">
        <v>32</v>
      </c>
      <c r="E33">
        <v>0.58306999999999998</v>
      </c>
    </row>
    <row r="34" spans="1:5" x14ac:dyDescent="0.25">
      <c r="A34" s="6" t="s">
        <v>16</v>
      </c>
      <c r="B34" s="6" t="s">
        <v>1</v>
      </c>
      <c r="C34" s="6">
        <v>2</v>
      </c>
      <c r="D34" s="6">
        <v>36</v>
      </c>
      <c r="E34">
        <v>0.57811000000000001</v>
      </c>
    </row>
    <row r="35" spans="1:5" x14ac:dyDescent="0.25">
      <c r="A35" s="6" t="s">
        <v>16</v>
      </c>
      <c r="B35" s="6" t="s">
        <v>1</v>
      </c>
      <c r="C35" s="6">
        <v>2</v>
      </c>
      <c r="D35" s="6">
        <v>40</v>
      </c>
      <c r="E35">
        <v>0.58030999999999999</v>
      </c>
    </row>
    <row r="36" spans="1:5" x14ac:dyDescent="0.25">
      <c r="A36" s="6" t="s">
        <v>16</v>
      </c>
      <c r="B36" s="6" t="s">
        <v>1</v>
      </c>
      <c r="C36" s="6">
        <v>2</v>
      </c>
      <c r="D36" s="6">
        <v>44</v>
      </c>
      <c r="E36">
        <v>0.57865999999999995</v>
      </c>
    </row>
    <row r="37" spans="1:5" x14ac:dyDescent="0.25">
      <c r="A37" s="6" t="s">
        <v>16</v>
      </c>
      <c r="B37" s="6" t="s">
        <v>1</v>
      </c>
      <c r="C37" s="6">
        <v>2</v>
      </c>
      <c r="D37" s="6">
        <v>48</v>
      </c>
      <c r="E37">
        <v>0.58753</v>
      </c>
    </row>
    <row r="38" spans="1:5" x14ac:dyDescent="0.25">
      <c r="A38" s="6" t="s">
        <v>16</v>
      </c>
      <c r="B38" s="6" t="s">
        <v>1</v>
      </c>
      <c r="C38" s="6">
        <v>2</v>
      </c>
      <c r="D38" s="6">
        <v>52</v>
      </c>
      <c r="E38">
        <v>0.58418000000000003</v>
      </c>
    </row>
    <row r="39" spans="1:5" x14ac:dyDescent="0.25">
      <c r="A39" s="6" t="s">
        <v>16</v>
      </c>
      <c r="B39" s="6" t="s">
        <v>1</v>
      </c>
      <c r="C39" s="6">
        <v>2</v>
      </c>
      <c r="D39" s="6">
        <v>56</v>
      </c>
      <c r="E39">
        <v>0.58696999999999999</v>
      </c>
    </row>
    <row r="40" spans="1:5" x14ac:dyDescent="0.25">
      <c r="A40" s="6" t="s">
        <v>16</v>
      </c>
      <c r="B40" s="6" t="s">
        <v>1</v>
      </c>
      <c r="C40" s="6">
        <v>2</v>
      </c>
      <c r="D40" s="6">
        <v>60</v>
      </c>
      <c r="E40">
        <v>0.58528999999999998</v>
      </c>
    </row>
    <row r="41" spans="1:5" x14ac:dyDescent="0.25">
      <c r="A41" s="6" t="s">
        <v>16</v>
      </c>
      <c r="B41" s="6" t="s">
        <v>1</v>
      </c>
      <c r="C41" s="6">
        <v>2</v>
      </c>
      <c r="D41" s="6">
        <v>64</v>
      </c>
      <c r="E41">
        <v>0.58640999999999999</v>
      </c>
    </row>
    <row r="42" spans="1:5" x14ac:dyDescent="0.25">
      <c r="A42" s="6" t="s">
        <v>16</v>
      </c>
      <c r="B42" s="6" t="s">
        <v>1</v>
      </c>
      <c r="C42" s="6">
        <v>2</v>
      </c>
      <c r="D42" s="6">
        <v>68</v>
      </c>
      <c r="E42">
        <v>0.58753</v>
      </c>
    </row>
    <row r="43" spans="1:5" x14ac:dyDescent="0.25">
      <c r="A43" s="6" t="s">
        <v>16</v>
      </c>
      <c r="B43" s="6" t="s">
        <v>1</v>
      </c>
      <c r="C43" s="6">
        <v>2</v>
      </c>
      <c r="D43" s="6">
        <v>72</v>
      </c>
      <c r="E43">
        <v>0.58528999999999998</v>
      </c>
    </row>
    <row r="44" spans="1:5" x14ac:dyDescent="0.25">
      <c r="A44" s="6" t="s">
        <v>16</v>
      </c>
      <c r="B44" s="6" t="s">
        <v>1</v>
      </c>
      <c r="C44" s="6">
        <v>2</v>
      </c>
      <c r="D44" s="6">
        <v>76</v>
      </c>
      <c r="E44">
        <v>0.60526000000000002</v>
      </c>
    </row>
    <row r="45" spans="1:5" x14ac:dyDescent="0.25">
      <c r="A45" s="6" t="s">
        <v>16</v>
      </c>
      <c r="B45" s="6" t="s">
        <v>1</v>
      </c>
      <c r="C45" s="6">
        <v>2</v>
      </c>
      <c r="D45" s="6">
        <v>80</v>
      </c>
      <c r="E45">
        <v>0.60292999999999997</v>
      </c>
    </row>
    <row r="46" spans="1:5" x14ac:dyDescent="0.25">
      <c r="A46" s="6" t="s">
        <v>16</v>
      </c>
      <c r="B46" s="6" t="s">
        <v>1</v>
      </c>
      <c r="C46" s="6">
        <v>2</v>
      </c>
      <c r="D46" s="6">
        <v>84</v>
      </c>
      <c r="E46">
        <v>0.60292999999999997</v>
      </c>
    </row>
    <row r="47" spans="1:5" x14ac:dyDescent="0.25">
      <c r="A47" s="6" t="s">
        <v>16</v>
      </c>
      <c r="B47" s="6" t="s">
        <v>1</v>
      </c>
      <c r="C47" s="6">
        <v>2</v>
      </c>
      <c r="D47" s="6">
        <v>88</v>
      </c>
      <c r="E47">
        <v>0.60877999999999999</v>
      </c>
    </row>
    <row r="48" spans="1:5" x14ac:dyDescent="0.25">
      <c r="A48" s="6" t="s">
        <v>16</v>
      </c>
      <c r="B48" s="6" t="s">
        <v>1</v>
      </c>
      <c r="C48" s="6">
        <v>3</v>
      </c>
      <c r="D48" s="6">
        <v>0</v>
      </c>
      <c r="E48">
        <v>0.18099999999999999</v>
      </c>
    </row>
    <row r="49" spans="1:5" x14ac:dyDescent="0.25">
      <c r="A49" s="6" t="s">
        <v>16</v>
      </c>
      <c r="B49" s="6" t="s">
        <v>1</v>
      </c>
      <c r="C49" s="6">
        <v>3</v>
      </c>
      <c r="D49" s="6">
        <v>4</v>
      </c>
      <c r="E49">
        <v>0.19449</v>
      </c>
    </row>
    <row r="50" spans="1:5" x14ac:dyDescent="0.25">
      <c r="A50" s="6" t="s">
        <v>16</v>
      </c>
      <c r="B50" s="6" t="s">
        <v>1</v>
      </c>
      <c r="C50" s="6">
        <v>3</v>
      </c>
      <c r="D50" s="6">
        <v>8</v>
      </c>
      <c r="E50">
        <v>0.25176999999999999</v>
      </c>
    </row>
    <row r="51" spans="1:5" x14ac:dyDescent="0.25">
      <c r="A51" s="6" t="s">
        <v>16</v>
      </c>
      <c r="B51" s="6" t="s">
        <v>1</v>
      </c>
      <c r="C51" s="6">
        <v>3</v>
      </c>
      <c r="D51" s="6">
        <v>12</v>
      </c>
      <c r="E51">
        <v>0.32816000000000001</v>
      </c>
    </row>
    <row r="52" spans="1:5" x14ac:dyDescent="0.25">
      <c r="A52" s="6" t="s">
        <v>16</v>
      </c>
      <c r="B52" s="6" t="s">
        <v>1</v>
      </c>
      <c r="C52" s="6">
        <v>3</v>
      </c>
      <c r="D52" s="6">
        <v>16</v>
      </c>
      <c r="E52">
        <v>0.38351000000000002</v>
      </c>
    </row>
    <row r="53" spans="1:5" x14ac:dyDescent="0.25">
      <c r="A53" s="6" t="s">
        <v>16</v>
      </c>
      <c r="B53" s="6" t="s">
        <v>1</v>
      </c>
      <c r="C53" s="6">
        <v>3</v>
      </c>
      <c r="D53" s="6">
        <v>20</v>
      </c>
      <c r="E53">
        <v>0.47466000000000003</v>
      </c>
    </row>
    <row r="54" spans="1:5" x14ac:dyDescent="0.25">
      <c r="A54" s="6" t="s">
        <v>16</v>
      </c>
      <c r="B54" s="6" t="s">
        <v>1</v>
      </c>
      <c r="C54" s="6">
        <v>3</v>
      </c>
      <c r="D54" s="6">
        <v>24</v>
      </c>
      <c r="E54">
        <v>0.59016000000000002</v>
      </c>
    </row>
    <row r="55" spans="1:5" x14ac:dyDescent="0.25">
      <c r="A55" s="6" t="s">
        <v>16</v>
      </c>
      <c r="B55" s="6" t="s">
        <v>1</v>
      </c>
      <c r="C55" s="6">
        <v>3</v>
      </c>
      <c r="D55" s="6">
        <v>28</v>
      </c>
      <c r="E55">
        <v>0.59585999999999995</v>
      </c>
    </row>
    <row r="56" spans="1:5" x14ac:dyDescent="0.25">
      <c r="A56" s="6" t="s">
        <v>16</v>
      </c>
      <c r="B56" s="6" t="s">
        <v>1</v>
      </c>
      <c r="C56" s="6">
        <v>3</v>
      </c>
      <c r="D56" s="6">
        <v>32</v>
      </c>
      <c r="E56">
        <v>0.58847000000000005</v>
      </c>
    </row>
    <row r="57" spans="1:5" x14ac:dyDescent="0.25">
      <c r="A57" s="6" t="s">
        <v>16</v>
      </c>
      <c r="B57" s="6" t="s">
        <v>1</v>
      </c>
      <c r="C57" s="6">
        <v>3</v>
      </c>
      <c r="D57" s="6">
        <v>36</v>
      </c>
      <c r="E57">
        <v>0.58791000000000004</v>
      </c>
    </row>
    <row r="58" spans="1:5" x14ac:dyDescent="0.25">
      <c r="A58" s="6" t="s">
        <v>16</v>
      </c>
      <c r="B58" s="6" t="s">
        <v>1</v>
      </c>
      <c r="C58" s="6">
        <v>3</v>
      </c>
      <c r="D58" s="6">
        <v>40</v>
      </c>
      <c r="E58">
        <v>0.58231999999999995</v>
      </c>
    </row>
    <row r="59" spans="1:5" x14ac:dyDescent="0.25">
      <c r="A59" s="6" t="s">
        <v>16</v>
      </c>
      <c r="B59" s="6" t="s">
        <v>1</v>
      </c>
      <c r="C59" s="6">
        <v>3</v>
      </c>
      <c r="D59" s="6">
        <v>44</v>
      </c>
      <c r="E59">
        <v>0.58455000000000001</v>
      </c>
    </row>
    <row r="60" spans="1:5" x14ac:dyDescent="0.25">
      <c r="A60" s="6" t="s">
        <v>16</v>
      </c>
      <c r="B60" s="6" t="s">
        <v>1</v>
      </c>
      <c r="C60" s="6">
        <v>3</v>
      </c>
      <c r="D60" s="6">
        <v>48</v>
      </c>
      <c r="E60">
        <v>0.57845000000000002</v>
      </c>
    </row>
    <row r="61" spans="1:5" x14ac:dyDescent="0.25">
      <c r="A61" s="6" t="s">
        <v>16</v>
      </c>
      <c r="B61" s="6" t="s">
        <v>1</v>
      </c>
      <c r="C61" s="6">
        <v>3</v>
      </c>
      <c r="D61" s="6">
        <v>52</v>
      </c>
      <c r="E61">
        <v>0.58343</v>
      </c>
    </row>
    <row r="62" spans="1:5" x14ac:dyDescent="0.25">
      <c r="A62" s="6" t="s">
        <v>16</v>
      </c>
      <c r="B62" s="6" t="s">
        <v>1</v>
      </c>
      <c r="C62" s="6">
        <v>3</v>
      </c>
      <c r="D62" s="6">
        <v>56</v>
      </c>
      <c r="E62">
        <v>0.59243000000000001</v>
      </c>
    </row>
    <row r="63" spans="1:5" x14ac:dyDescent="0.25">
      <c r="A63" s="6" t="s">
        <v>16</v>
      </c>
      <c r="B63" s="6" t="s">
        <v>1</v>
      </c>
      <c r="C63" s="6">
        <v>3</v>
      </c>
      <c r="D63" s="6">
        <v>60</v>
      </c>
      <c r="E63">
        <v>0.59016000000000002</v>
      </c>
    </row>
    <row r="64" spans="1:5" x14ac:dyDescent="0.25">
      <c r="A64" s="6" t="s">
        <v>16</v>
      </c>
      <c r="B64" s="6" t="s">
        <v>1</v>
      </c>
      <c r="C64" s="6">
        <v>3</v>
      </c>
      <c r="D64" s="6">
        <v>64</v>
      </c>
      <c r="E64">
        <v>0.57899999999999996</v>
      </c>
    </row>
    <row r="65" spans="1:5" x14ac:dyDescent="0.25">
      <c r="A65" s="6" t="s">
        <v>16</v>
      </c>
      <c r="B65" s="6" t="s">
        <v>1</v>
      </c>
      <c r="C65" s="6">
        <v>3</v>
      </c>
      <c r="D65" s="6">
        <v>68</v>
      </c>
      <c r="E65">
        <v>0.57955000000000001</v>
      </c>
    </row>
    <row r="66" spans="1:5" x14ac:dyDescent="0.25">
      <c r="A66" s="6" t="s">
        <v>16</v>
      </c>
      <c r="B66" s="6" t="s">
        <v>1</v>
      </c>
      <c r="C66" s="6">
        <v>3</v>
      </c>
      <c r="D66" s="6">
        <v>72</v>
      </c>
      <c r="E66">
        <v>0.57955000000000001</v>
      </c>
    </row>
    <row r="67" spans="1:5" x14ac:dyDescent="0.25">
      <c r="A67" s="6" t="s">
        <v>16</v>
      </c>
      <c r="B67" s="6" t="s">
        <v>1</v>
      </c>
      <c r="C67" s="6">
        <v>3</v>
      </c>
      <c r="D67" s="6">
        <v>76</v>
      </c>
      <c r="E67">
        <v>0.58455000000000001</v>
      </c>
    </row>
    <row r="68" spans="1:5" x14ac:dyDescent="0.25">
      <c r="A68" s="6" t="s">
        <v>16</v>
      </c>
      <c r="B68" s="6" t="s">
        <v>1</v>
      </c>
      <c r="C68" s="6">
        <v>3</v>
      </c>
      <c r="D68" s="6">
        <v>80</v>
      </c>
      <c r="E68">
        <v>0.58735000000000004</v>
      </c>
    </row>
    <row r="69" spans="1:5" x14ac:dyDescent="0.25">
      <c r="A69" s="6" t="s">
        <v>16</v>
      </c>
      <c r="B69" s="6" t="s">
        <v>1</v>
      </c>
      <c r="C69" s="6">
        <v>3</v>
      </c>
      <c r="D69" s="6">
        <v>84</v>
      </c>
      <c r="E69">
        <v>0.56864999999999999</v>
      </c>
    </row>
    <row r="70" spans="1:5" x14ac:dyDescent="0.25">
      <c r="A70" s="6" t="s">
        <v>16</v>
      </c>
      <c r="B70" s="6" t="s">
        <v>1</v>
      </c>
      <c r="C70" s="6">
        <v>3</v>
      </c>
      <c r="D70" s="6">
        <v>88</v>
      </c>
      <c r="E70">
        <v>0.58121</v>
      </c>
    </row>
    <row r="71" spans="1:5" x14ac:dyDescent="0.25">
      <c r="A71" s="6" t="s">
        <v>4</v>
      </c>
      <c r="B71" s="6" t="s">
        <v>1</v>
      </c>
      <c r="C71" s="6">
        <v>1</v>
      </c>
      <c r="D71">
        <v>0</v>
      </c>
      <c r="E71">
        <v>0.2</v>
      </c>
    </row>
    <row r="72" spans="1:5" x14ac:dyDescent="0.25">
      <c r="A72" s="6" t="s">
        <v>4</v>
      </c>
      <c r="B72" s="6" t="s">
        <v>1</v>
      </c>
      <c r="C72" s="6">
        <v>1</v>
      </c>
      <c r="D72">
        <v>4</v>
      </c>
      <c r="E72">
        <v>0.36981000000000003</v>
      </c>
    </row>
    <row r="73" spans="1:5" x14ac:dyDescent="0.25">
      <c r="A73" s="6" t="s">
        <v>4</v>
      </c>
      <c r="B73" s="6" t="s">
        <v>1</v>
      </c>
      <c r="C73" s="6">
        <v>1</v>
      </c>
      <c r="D73">
        <v>8</v>
      </c>
      <c r="E73">
        <v>0.48351</v>
      </c>
    </row>
    <row r="74" spans="1:5" x14ac:dyDescent="0.25">
      <c r="A74" s="6" t="s">
        <v>4</v>
      </c>
      <c r="B74" s="6" t="s">
        <v>1</v>
      </c>
      <c r="C74" s="6">
        <v>1</v>
      </c>
      <c r="D74">
        <v>12</v>
      </c>
      <c r="E74">
        <v>0.61597999999999997</v>
      </c>
    </row>
    <row r="75" spans="1:5" x14ac:dyDescent="0.25">
      <c r="A75" s="6" t="s">
        <v>4</v>
      </c>
      <c r="B75" s="6" t="s">
        <v>1</v>
      </c>
      <c r="C75" s="6">
        <v>1</v>
      </c>
      <c r="D75">
        <v>16</v>
      </c>
      <c r="E75">
        <v>0.70711999999999997</v>
      </c>
    </row>
    <row r="76" spans="1:5" x14ac:dyDescent="0.25">
      <c r="A76" s="6" t="s">
        <v>4</v>
      </c>
      <c r="B76" s="6" t="s">
        <v>1</v>
      </c>
      <c r="C76" s="6">
        <v>1</v>
      </c>
      <c r="D76">
        <v>20</v>
      </c>
      <c r="E76">
        <v>0.68352999999999997</v>
      </c>
    </row>
    <row r="77" spans="1:5" x14ac:dyDescent="0.25">
      <c r="A77" s="6" t="s">
        <v>4</v>
      </c>
      <c r="B77" s="6" t="s">
        <v>1</v>
      </c>
      <c r="C77" s="6">
        <v>1</v>
      </c>
      <c r="D77">
        <v>24</v>
      </c>
      <c r="E77">
        <v>0.70201000000000002</v>
      </c>
    </row>
    <row r="78" spans="1:5" x14ac:dyDescent="0.25">
      <c r="A78" s="6" t="s">
        <v>4</v>
      </c>
      <c r="B78" s="6" t="s">
        <v>1</v>
      </c>
      <c r="C78" s="6">
        <v>1</v>
      </c>
      <c r="D78">
        <v>28</v>
      </c>
      <c r="E78">
        <v>0.69696000000000002</v>
      </c>
    </row>
    <row r="79" spans="1:5" x14ac:dyDescent="0.25">
      <c r="A79" s="6" t="s">
        <v>4</v>
      </c>
      <c r="B79" s="6" t="s">
        <v>1</v>
      </c>
      <c r="C79" s="6">
        <v>1</v>
      </c>
      <c r="D79">
        <v>32</v>
      </c>
      <c r="E79">
        <v>0.69911000000000001</v>
      </c>
    </row>
    <row r="80" spans="1:5" x14ac:dyDescent="0.25">
      <c r="A80" s="6" t="s">
        <v>4</v>
      </c>
      <c r="B80" s="6" t="s">
        <v>1</v>
      </c>
      <c r="C80" s="6">
        <v>1</v>
      </c>
      <c r="D80">
        <v>36</v>
      </c>
      <c r="E80">
        <v>0.68913000000000002</v>
      </c>
    </row>
    <row r="81" spans="1:5" x14ac:dyDescent="0.25">
      <c r="A81" s="6" t="s">
        <v>4</v>
      </c>
      <c r="B81" s="6" t="s">
        <v>1</v>
      </c>
      <c r="C81" s="6">
        <v>1</v>
      </c>
      <c r="D81">
        <v>40</v>
      </c>
      <c r="E81">
        <v>0.70860000000000001</v>
      </c>
    </row>
    <row r="82" spans="1:5" x14ac:dyDescent="0.25">
      <c r="A82" s="6" t="s">
        <v>4</v>
      </c>
      <c r="B82" s="6" t="s">
        <v>1</v>
      </c>
      <c r="C82" s="6">
        <v>1</v>
      </c>
      <c r="D82">
        <v>44</v>
      </c>
      <c r="E82">
        <v>0.69054000000000004</v>
      </c>
    </row>
    <row r="83" spans="1:5" x14ac:dyDescent="0.25">
      <c r="A83" s="6" t="s">
        <v>4</v>
      </c>
      <c r="B83" s="6" t="s">
        <v>1</v>
      </c>
      <c r="C83" s="6">
        <v>1</v>
      </c>
      <c r="D83">
        <v>48</v>
      </c>
      <c r="E83">
        <v>0.70055999999999996</v>
      </c>
    </row>
    <row r="84" spans="1:5" x14ac:dyDescent="0.25">
      <c r="A84" s="6" t="s">
        <v>4</v>
      </c>
      <c r="B84" s="6" t="s">
        <v>1</v>
      </c>
      <c r="C84" s="6">
        <v>1</v>
      </c>
      <c r="D84">
        <v>52</v>
      </c>
      <c r="E84">
        <v>0.70418999999999998</v>
      </c>
    </row>
    <row r="85" spans="1:5" x14ac:dyDescent="0.25">
      <c r="A85" s="6" t="s">
        <v>4</v>
      </c>
      <c r="B85" s="6" t="s">
        <v>1</v>
      </c>
      <c r="C85" s="6">
        <v>1</v>
      </c>
      <c r="D85">
        <v>56</v>
      </c>
      <c r="E85">
        <v>0.70933000000000002</v>
      </c>
    </row>
    <row r="86" spans="1:5" x14ac:dyDescent="0.25">
      <c r="A86" s="6" t="s">
        <v>4</v>
      </c>
      <c r="B86" s="6" t="s">
        <v>1</v>
      </c>
      <c r="C86" s="6">
        <v>1</v>
      </c>
      <c r="D86">
        <v>60</v>
      </c>
      <c r="E86">
        <v>0.69696000000000002</v>
      </c>
    </row>
    <row r="87" spans="1:5" x14ac:dyDescent="0.25">
      <c r="A87" s="6" t="s">
        <v>4</v>
      </c>
      <c r="B87" s="6" t="s">
        <v>1</v>
      </c>
      <c r="C87" s="6">
        <v>1</v>
      </c>
      <c r="D87">
        <v>64</v>
      </c>
      <c r="E87">
        <v>0.70274000000000003</v>
      </c>
    </row>
    <row r="88" spans="1:5" x14ac:dyDescent="0.25">
      <c r="A88" s="6" t="s">
        <v>4</v>
      </c>
      <c r="B88" s="6" t="s">
        <v>1</v>
      </c>
      <c r="C88" s="6">
        <v>1</v>
      </c>
      <c r="D88">
        <v>68</v>
      </c>
      <c r="E88">
        <v>0.69911000000000001</v>
      </c>
    </row>
    <row r="89" spans="1:5" x14ac:dyDescent="0.25">
      <c r="A89" s="6" t="s">
        <v>4</v>
      </c>
      <c r="B89" s="6" t="s">
        <v>1</v>
      </c>
      <c r="C89" s="6">
        <v>1</v>
      </c>
      <c r="D89">
        <v>72</v>
      </c>
      <c r="E89">
        <v>0.69552000000000003</v>
      </c>
    </row>
    <row r="90" spans="1:5" x14ac:dyDescent="0.25">
      <c r="A90" s="6" t="s">
        <v>4</v>
      </c>
      <c r="B90" s="6" t="s">
        <v>1</v>
      </c>
      <c r="C90" s="6">
        <v>1</v>
      </c>
      <c r="D90">
        <v>76</v>
      </c>
      <c r="E90">
        <v>0.70345999999999997</v>
      </c>
    </row>
    <row r="91" spans="1:5" x14ac:dyDescent="0.25">
      <c r="A91" s="6" t="s">
        <v>4</v>
      </c>
      <c r="B91" s="6" t="s">
        <v>1</v>
      </c>
      <c r="C91" s="6">
        <v>2</v>
      </c>
      <c r="D91">
        <v>0</v>
      </c>
      <c r="E91">
        <v>0.2</v>
      </c>
    </row>
    <row r="92" spans="1:5" x14ac:dyDescent="0.25">
      <c r="A92" s="6" t="s">
        <v>4</v>
      </c>
      <c r="B92" s="6" t="s">
        <v>1</v>
      </c>
      <c r="C92" s="6">
        <v>2</v>
      </c>
      <c r="D92">
        <v>4</v>
      </c>
      <c r="E92">
        <v>0.34571000000000002</v>
      </c>
    </row>
    <row r="93" spans="1:5" x14ac:dyDescent="0.25">
      <c r="A93" s="6" t="s">
        <v>4</v>
      </c>
      <c r="B93" s="6" t="s">
        <v>1</v>
      </c>
      <c r="C93" s="6">
        <v>2</v>
      </c>
      <c r="D93">
        <v>8</v>
      </c>
      <c r="E93">
        <v>0.45056000000000002</v>
      </c>
    </row>
    <row r="94" spans="1:5" x14ac:dyDescent="0.25">
      <c r="A94" s="6" t="s">
        <v>4</v>
      </c>
      <c r="B94" s="6" t="s">
        <v>1</v>
      </c>
      <c r="C94" s="6">
        <v>2</v>
      </c>
      <c r="D94">
        <v>12</v>
      </c>
      <c r="E94">
        <v>0.54522999999999999</v>
      </c>
    </row>
    <row r="95" spans="1:5" x14ac:dyDescent="0.25">
      <c r="A95" s="6" t="s">
        <v>4</v>
      </c>
      <c r="B95" s="6" t="s">
        <v>1</v>
      </c>
      <c r="C95" s="6">
        <v>2</v>
      </c>
      <c r="D95">
        <v>16</v>
      </c>
      <c r="E95">
        <v>0.65320999999999996</v>
      </c>
    </row>
    <row r="96" spans="1:5" x14ac:dyDescent="0.25">
      <c r="A96" s="6" t="s">
        <v>4</v>
      </c>
      <c r="B96" s="6" t="s">
        <v>1</v>
      </c>
      <c r="C96" s="6">
        <v>2</v>
      </c>
      <c r="D96">
        <v>20</v>
      </c>
      <c r="E96">
        <v>0.66310999999999998</v>
      </c>
    </row>
    <row r="97" spans="1:5" x14ac:dyDescent="0.25">
      <c r="A97" s="6" t="s">
        <v>4</v>
      </c>
      <c r="B97" s="6" t="s">
        <v>1</v>
      </c>
      <c r="C97" s="6">
        <v>2</v>
      </c>
      <c r="D97">
        <v>24</v>
      </c>
      <c r="E97">
        <v>0.65780000000000005</v>
      </c>
    </row>
    <row r="98" spans="1:5" x14ac:dyDescent="0.25">
      <c r="A98" s="6" t="s">
        <v>4</v>
      </c>
      <c r="B98" s="6" t="s">
        <v>1</v>
      </c>
      <c r="C98" s="6">
        <v>2</v>
      </c>
      <c r="D98">
        <v>28</v>
      </c>
      <c r="E98">
        <v>0.66376999999999997</v>
      </c>
    </row>
    <row r="99" spans="1:5" x14ac:dyDescent="0.25">
      <c r="A99" s="6" t="s">
        <v>4</v>
      </c>
      <c r="B99" s="6" t="s">
        <v>1</v>
      </c>
      <c r="C99" s="6">
        <v>2</v>
      </c>
      <c r="D99">
        <v>32</v>
      </c>
      <c r="E99">
        <v>0.66915000000000002</v>
      </c>
    </row>
    <row r="100" spans="1:5" x14ac:dyDescent="0.25">
      <c r="A100" s="6" t="s">
        <v>4</v>
      </c>
      <c r="B100" s="6" t="s">
        <v>1</v>
      </c>
      <c r="C100" s="6">
        <v>2</v>
      </c>
      <c r="D100">
        <v>36</v>
      </c>
      <c r="E100">
        <v>0.65256000000000003</v>
      </c>
    </row>
    <row r="101" spans="1:5" x14ac:dyDescent="0.25">
      <c r="A101" s="6" t="s">
        <v>4</v>
      </c>
      <c r="B101" s="6" t="s">
        <v>1</v>
      </c>
      <c r="C101" s="6">
        <v>2</v>
      </c>
      <c r="D101">
        <v>40</v>
      </c>
      <c r="E101">
        <v>0.66510999999999998</v>
      </c>
    </row>
    <row r="102" spans="1:5" x14ac:dyDescent="0.25">
      <c r="A102" s="6" t="s">
        <v>4</v>
      </c>
      <c r="B102" s="6" t="s">
        <v>1</v>
      </c>
      <c r="C102" s="6">
        <v>2</v>
      </c>
      <c r="D102">
        <v>44</v>
      </c>
      <c r="E102">
        <v>0.65846000000000005</v>
      </c>
    </row>
    <row r="103" spans="1:5" x14ac:dyDescent="0.25">
      <c r="A103" s="6" t="s">
        <v>4</v>
      </c>
      <c r="B103" s="6" t="s">
        <v>1</v>
      </c>
      <c r="C103" s="6">
        <v>2</v>
      </c>
      <c r="D103">
        <v>48</v>
      </c>
      <c r="E103">
        <v>0.65583000000000002</v>
      </c>
    </row>
    <row r="104" spans="1:5" x14ac:dyDescent="0.25">
      <c r="A104" s="6" t="s">
        <v>4</v>
      </c>
      <c r="B104" s="6" t="s">
        <v>1</v>
      </c>
      <c r="C104" s="6">
        <v>2</v>
      </c>
      <c r="D104">
        <v>52</v>
      </c>
      <c r="E104">
        <v>0.65846000000000005</v>
      </c>
    </row>
    <row r="105" spans="1:5" x14ac:dyDescent="0.25">
      <c r="A105" s="6" t="s">
        <v>4</v>
      </c>
      <c r="B105" s="6" t="s">
        <v>1</v>
      </c>
      <c r="C105" s="6">
        <v>2</v>
      </c>
      <c r="D105">
        <v>56</v>
      </c>
      <c r="E105">
        <v>0.65780000000000005</v>
      </c>
    </row>
    <row r="106" spans="1:5" x14ac:dyDescent="0.25">
      <c r="A106" s="6" t="s">
        <v>4</v>
      </c>
      <c r="B106" s="6" t="s">
        <v>1</v>
      </c>
      <c r="C106" s="6">
        <v>2</v>
      </c>
      <c r="D106">
        <v>60</v>
      </c>
      <c r="E106">
        <v>0.65125999999999995</v>
      </c>
    </row>
    <row r="107" spans="1:5" x14ac:dyDescent="0.25">
      <c r="A107" s="6" t="s">
        <v>4</v>
      </c>
      <c r="B107" s="6" t="s">
        <v>1</v>
      </c>
      <c r="C107" s="6">
        <v>2</v>
      </c>
      <c r="D107">
        <v>64</v>
      </c>
      <c r="E107">
        <v>0.65978000000000003</v>
      </c>
    </row>
    <row r="108" spans="1:5" x14ac:dyDescent="0.25">
      <c r="A108" s="6" t="s">
        <v>4</v>
      </c>
      <c r="B108" s="6" t="s">
        <v>1</v>
      </c>
      <c r="C108" s="6">
        <v>2</v>
      </c>
      <c r="D108">
        <v>68</v>
      </c>
      <c r="E108">
        <v>0.65517000000000003</v>
      </c>
    </row>
    <row r="109" spans="1:5" x14ac:dyDescent="0.25">
      <c r="A109" s="6" t="s">
        <v>4</v>
      </c>
      <c r="B109" s="6" t="s">
        <v>1</v>
      </c>
      <c r="C109" s="6">
        <v>2</v>
      </c>
      <c r="D109">
        <v>72</v>
      </c>
      <c r="E109">
        <v>0.65649000000000002</v>
      </c>
    </row>
    <row r="110" spans="1:5" x14ac:dyDescent="0.25">
      <c r="A110" s="6" t="s">
        <v>4</v>
      </c>
      <c r="B110" s="6" t="s">
        <v>1</v>
      </c>
      <c r="C110" s="6">
        <v>2</v>
      </c>
      <c r="D110">
        <v>76</v>
      </c>
      <c r="E110">
        <v>0.65256000000000003</v>
      </c>
    </row>
    <row r="111" spans="1:5" x14ac:dyDescent="0.25">
      <c r="A111" s="6" t="s">
        <v>4</v>
      </c>
      <c r="B111" s="6" t="s">
        <v>1</v>
      </c>
      <c r="C111" s="6">
        <v>3</v>
      </c>
      <c r="D111">
        <v>0</v>
      </c>
      <c r="E111">
        <v>0.2</v>
      </c>
    </row>
    <row r="112" spans="1:5" x14ac:dyDescent="0.25">
      <c r="A112" s="6" t="s">
        <v>4</v>
      </c>
      <c r="B112" s="6" t="s">
        <v>1</v>
      </c>
      <c r="C112" s="6">
        <v>3</v>
      </c>
      <c r="D112">
        <v>4</v>
      </c>
      <c r="E112">
        <v>0.35626999999999998</v>
      </c>
    </row>
    <row r="113" spans="1:5" x14ac:dyDescent="0.25">
      <c r="A113" s="6" t="s">
        <v>4</v>
      </c>
      <c r="B113" s="6" t="s">
        <v>1</v>
      </c>
      <c r="C113" s="6">
        <v>3</v>
      </c>
      <c r="D113">
        <v>8</v>
      </c>
      <c r="E113">
        <v>0.42130000000000001</v>
      </c>
    </row>
    <row r="114" spans="1:5" x14ac:dyDescent="0.25">
      <c r="A114" s="6" t="s">
        <v>4</v>
      </c>
      <c r="B114" s="6" t="s">
        <v>1</v>
      </c>
      <c r="C114" s="6">
        <v>3</v>
      </c>
      <c r="D114">
        <v>12</v>
      </c>
      <c r="E114">
        <v>0.54559999999999997</v>
      </c>
    </row>
    <row r="115" spans="1:5" x14ac:dyDescent="0.25">
      <c r="A115" s="6" t="s">
        <v>4</v>
      </c>
      <c r="B115" s="6" t="s">
        <v>1</v>
      </c>
      <c r="C115" s="6">
        <v>3</v>
      </c>
      <c r="D115">
        <v>16</v>
      </c>
      <c r="E115">
        <v>0.65010000000000001</v>
      </c>
    </row>
    <row r="116" spans="1:5" x14ac:dyDescent="0.25">
      <c r="A116" s="6" t="s">
        <v>4</v>
      </c>
      <c r="B116" s="6" t="s">
        <v>1</v>
      </c>
      <c r="C116" s="6">
        <v>3</v>
      </c>
      <c r="D116">
        <v>20</v>
      </c>
      <c r="E116">
        <v>0.66461999999999999</v>
      </c>
    </row>
    <row r="117" spans="1:5" x14ac:dyDescent="0.25">
      <c r="A117" s="6" t="s">
        <v>4</v>
      </c>
      <c r="B117" s="6" t="s">
        <v>1</v>
      </c>
      <c r="C117" s="6">
        <v>3</v>
      </c>
      <c r="D117">
        <v>24</v>
      </c>
      <c r="E117">
        <v>0.66461999999999999</v>
      </c>
    </row>
    <row r="118" spans="1:5" x14ac:dyDescent="0.25">
      <c r="A118" s="6" t="s">
        <v>4</v>
      </c>
      <c r="B118" s="6" t="s">
        <v>1</v>
      </c>
      <c r="C118" s="6">
        <v>3</v>
      </c>
      <c r="D118">
        <v>28</v>
      </c>
      <c r="E118">
        <v>0.65532000000000001</v>
      </c>
    </row>
    <row r="119" spans="1:5" x14ac:dyDescent="0.25">
      <c r="A119" s="6" t="s">
        <v>4</v>
      </c>
      <c r="B119" s="6" t="s">
        <v>1</v>
      </c>
      <c r="C119" s="6">
        <v>3</v>
      </c>
      <c r="D119">
        <v>32</v>
      </c>
      <c r="E119">
        <v>0.66127999999999998</v>
      </c>
    </row>
    <row r="120" spans="1:5" x14ac:dyDescent="0.25">
      <c r="A120" s="6" t="s">
        <v>4</v>
      </c>
      <c r="B120" s="6" t="s">
        <v>1</v>
      </c>
      <c r="C120" s="6">
        <v>3</v>
      </c>
      <c r="D120">
        <v>36</v>
      </c>
      <c r="E120">
        <v>0.63668000000000002</v>
      </c>
    </row>
    <row r="121" spans="1:5" x14ac:dyDescent="0.25">
      <c r="A121" s="6" t="s">
        <v>4</v>
      </c>
      <c r="B121" s="6" t="s">
        <v>1</v>
      </c>
      <c r="C121" s="6">
        <v>3</v>
      </c>
      <c r="D121">
        <v>40</v>
      </c>
      <c r="E121">
        <v>0.6573</v>
      </c>
    </row>
    <row r="122" spans="1:5" x14ac:dyDescent="0.25">
      <c r="A122" s="6" t="s">
        <v>4</v>
      </c>
      <c r="B122" s="6" t="s">
        <v>1</v>
      </c>
      <c r="C122" s="6">
        <v>3</v>
      </c>
      <c r="D122">
        <v>44</v>
      </c>
      <c r="E122">
        <v>0.65532000000000001</v>
      </c>
    </row>
    <row r="123" spans="1:5" x14ac:dyDescent="0.25">
      <c r="A123" s="6" t="s">
        <v>4</v>
      </c>
      <c r="B123" s="6" t="s">
        <v>1</v>
      </c>
      <c r="C123" s="6">
        <v>3</v>
      </c>
      <c r="D123">
        <v>48</v>
      </c>
      <c r="E123">
        <v>0.66395000000000004</v>
      </c>
    </row>
    <row r="124" spans="1:5" x14ac:dyDescent="0.25">
      <c r="A124" s="6" t="s">
        <v>4</v>
      </c>
      <c r="B124" s="6" t="s">
        <v>1</v>
      </c>
      <c r="C124" s="6">
        <v>3</v>
      </c>
      <c r="D124">
        <v>52</v>
      </c>
      <c r="E124">
        <v>0.64944999999999997</v>
      </c>
    </row>
    <row r="125" spans="1:5" x14ac:dyDescent="0.25">
      <c r="A125" s="6" t="s">
        <v>4</v>
      </c>
      <c r="B125" s="6" t="s">
        <v>1</v>
      </c>
      <c r="C125" s="6">
        <v>3</v>
      </c>
      <c r="D125">
        <v>56</v>
      </c>
      <c r="E125">
        <v>0.6573</v>
      </c>
    </row>
    <row r="126" spans="1:5" x14ac:dyDescent="0.25">
      <c r="A126" s="6" t="s">
        <v>4</v>
      </c>
      <c r="B126" s="6" t="s">
        <v>1</v>
      </c>
      <c r="C126" s="6">
        <v>3</v>
      </c>
      <c r="D126">
        <v>60</v>
      </c>
      <c r="E126">
        <v>0.64880000000000004</v>
      </c>
    </row>
    <row r="127" spans="1:5" x14ac:dyDescent="0.25">
      <c r="A127" s="6" t="s">
        <v>4</v>
      </c>
      <c r="B127" s="6" t="s">
        <v>1</v>
      </c>
      <c r="C127" s="6">
        <v>3</v>
      </c>
      <c r="D127">
        <v>64</v>
      </c>
      <c r="E127">
        <v>0.65532000000000001</v>
      </c>
    </row>
    <row r="128" spans="1:5" x14ac:dyDescent="0.25">
      <c r="A128" s="6" t="s">
        <v>4</v>
      </c>
      <c r="B128" s="6" t="s">
        <v>1</v>
      </c>
      <c r="C128" s="6">
        <v>3</v>
      </c>
      <c r="D128">
        <v>68</v>
      </c>
      <c r="E128">
        <v>0.65598000000000001</v>
      </c>
    </row>
    <row r="129" spans="1:5" x14ac:dyDescent="0.25">
      <c r="A129" s="6" t="s">
        <v>4</v>
      </c>
      <c r="B129" s="6" t="s">
        <v>1</v>
      </c>
      <c r="C129" s="6">
        <v>3</v>
      </c>
      <c r="D129">
        <v>72</v>
      </c>
      <c r="E129">
        <v>0.65664</v>
      </c>
    </row>
    <row r="130" spans="1:5" x14ac:dyDescent="0.25">
      <c r="A130" s="6" t="s">
        <v>4</v>
      </c>
      <c r="B130" s="6" t="s">
        <v>1</v>
      </c>
      <c r="C130" s="6">
        <v>3</v>
      </c>
      <c r="D130">
        <v>76</v>
      </c>
      <c r="E130">
        <v>0.65861999999999998</v>
      </c>
    </row>
    <row r="131" spans="1:5" x14ac:dyDescent="0.25">
      <c r="A131" s="6" t="s">
        <v>10</v>
      </c>
      <c r="B131" s="6" t="s">
        <v>1</v>
      </c>
      <c r="C131" s="6">
        <v>1</v>
      </c>
      <c r="D131">
        <v>0</v>
      </c>
      <c r="E131" s="1">
        <v>0.30851000000000001</v>
      </c>
    </row>
    <row r="132" spans="1:5" x14ac:dyDescent="0.25">
      <c r="A132" s="6" t="s">
        <v>10</v>
      </c>
      <c r="B132" s="6" t="s">
        <v>1</v>
      </c>
      <c r="C132" s="6">
        <v>1</v>
      </c>
      <c r="D132">
        <v>4</v>
      </c>
      <c r="E132" s="1">
        <v>0.43513000000000002</v>
      </c>
    </row>
    <row r="133" spans="1:5" x14ac:dyDescent="0.25">
      <c r="A133" s="6" t="s">
        <v>10</v>
      </c>
      <c r="B133" s="6" t="s">
        <v>1</v>
      </c>
      <c r="C133" s="6">
        <v>1</v>
      </c>
      <c r="D133">
        <v>8</v>
      </c>
      <c r="E133" s="1">
        <v>0.55586999999999998</v>
      </c>
    </row>
    <row r="134" spans="1:5" x14ac:dyDescent="0.25">
      <c r="A134" s="6" t="s">
        <v>10</v>
      </c>
      <c r="B134" s="6" t="s">
        <v>1</v>
      </c>
      <c r="C134" s="6">
        <v>1</v>
      </c>
      <c r="D134">
        <v>12</v>
      </c>
      <c r="E134" s="1">
        <v>0.65017000000000003</v>
      </c>
    </row>
    <row r="135" spans="1:5" x14ac:dyDescent="0.25">
      <c r="A135" s="6" t="s">
        <v>10</v>
      </c>
      <c r="B135" s="6" t="s">
        <v>1</v>
      </c>
      <c r="C135" s="6">
        <v>1</v>
      </c>
      <c r="D135">
        <v>16</v>
      </c>
      <c r="E135" s="1">
        <v>0.74175000000000002</v>
      </c>
    </row>
    <row r="136" spans="1:5" x14ac:dyDescent="0.25">
      <c r="A136" s="6" t="s">
        <v>10</v>
      </c>
      <c r="B136" s="6" t="s">
        <v>1</v>
      </c>
      <c r="C136" s="6">
        <v>1</v>
      </c>
      <c r="D136">
        <v>20</v>
      </c>
      <c r="E136" s="1">
        <v>0.82854000000000005</v>
      </c>
    </row>
    <row r="137" spans="1:5" x14ac:dyDescent="0.25">
      <c r="A137" s="6" t="s">
        <v>10</v>
      </c>
      <c r="B137" s="6" t="s">
        <v>1</v>
      </c>
      <c r="C137" s="6">
        <v>1</v>
      </c>
      <c r="D137">
        <v>24</v>
      </c>
      <c r="E137" s="1">
        <v>0.91624000000000005</v>
      </c>
    </row>
    <row r="138" spans="1:5" x14ac:dyDescent="0.25">
      <c r="A138" s="6" t="s">
        <v>10</v>
      </c>
      <c r="B138" s="6" t="s">
        <v>1</v>
      </c>
      <c r="C138" s="6">
        <v>1</v>
      </c>
      <c r="D138">
        <v>28</v>
      </c>
      <c r="E138" s="1">
        <v>1.0201</v>
      </c>
    </row>
    <row r="139" spans="1:5" x14ac:dyDescent="0.25">
      <c r="A139" s="6" t="s">
        <v>10</v>
      </c>
      <c r="B139" s="6" t="s">
        <v>1</v>
      </c>
      <c r="C139" s="6">
        <v>1</v>
      </c>
      <c r="D139">
        <v>32</v>
      </c>
      <c r="E139" s="1">
        <v>1.0911299999999999</v>
      </c>
    </row>
    <row r="140" spans="1:5" x14ac:dyDescent="0.25">
      <c r="A140" s="6" t="s">
        <v>10</v>
      </c>
      <c r="B140" s="6" t="s">
        <v>1</v>
      </c>
      <c r="C140" s="6">
        <v>1</v>
      </c>
      <c r="D140">
        <v>36</v>
      </c>
      <c r="E140" s="1">
        <v>1.0822499999999999</v>
      </c>
    </row>
    <row r="141" spans="1:5" x14ac:dyDescent="0.25">
      <c r="A141" s="6" t="s">
        <v>10</v>
      </c>
      <c r="B141" s="6" t="s">
        <v>1</v>
      </c>
      <c r="C141" s="6">
        <v>1</v>
      </c>
      <c r="D141">
        <v>40</v>
      </c>
      <c r="E141" s="1">
        <v>1.077</v>
      </c>
    </row>
    <row r="142" spans="1:5" x14ac:dyDescent="0.25">
      <c r="A142" s="6" t="s">
        <v>10</v>
      </c>
      <c r="B142" s="6" t="s">
        <v>1</v>
      </c>
      <c r="C142" s="6">
        <v>1</v>
      </c>
      <c r="D142">
        <v>44</v>
      </c>
      <c r="E142" s="1">
        <v>1.0735399999999999</v>
      </c>
    </row>
    <row r="143" spans="1:5" x14ac:dyDescent="0.25">
      <c r="A143" s="6" t="s">
        <v>10</v>
      </c>
      <c r="B143" s="6" t="s">
        <v>1</v>
      </c>
      <c r="C143" s="6">
        <v>1</v>
      </c>
      <c r="D143">
        <v>48</v>
      </c>
      <c r="E143" s="1">
        <v>1.0752699999999999</v>
      </c>
    </row>
    <row r="144" spans="1:5" x14ac:dyDescent="0.25">
      <c r="A144" s="6" t="s">
        <v>10</v>
      </c>
      <c r="B144" s="6" t="s">
        <v>1</v>
      </c>
      <c r="C144" s="6">
        <v>1</v>
      </c>
      <c r="D144">
        <v>52</v>
      </c>
      <c r="E144" s="1">
        <v>1.0752699999999999</v>
      </c>
    </row>
    <row r="145" spans="1:5" x14ac:dyDescent="0.25">
      <c r="A145" s="6" t="s">
        <v>10</v>
      </c>
      <c r="B145" s="6" t="s">
        <v>1</v>
      </c>
      <c r="C145" s="6">
        <v>1</v>
      </c>
      <c r="D145">
        <v>56</v>
      </c>
      <c r="E145" s="1">
        <v>1.0701099999999999</v>
      </c>
    </row>
    <row r="146" spans="1:5" x14ac:dyDescent="0.25">
      <c r="A146" s="6" t="s">
        <v>10</v>
      </c>
      <c r="B146" s="6" t="s">
        <v>1</v>
      </c>
      <c r="C146" s="6">
        <v>1</v>
      </c>
      <c r="D146">
        <v>60</v>
      </c>
      <c r="E146" s="1">
        <v>1.077</v>
      </c>
    </row>
    <row r="147" spans="1:5" x14ac:dyDescent="0.25">
      <c r="A147" s="6" t="s">
        <v>10</v>
      </c>
      <c r="B147" s="6" t="s">
        <v>1</v>
      </c>
      <c r="C147" s="6">
        <v>1</v>
      </c>
      <c r="D147">
        <v>64</v>
      </c>
      <c r="E147" s="1">
        <v>1.07182</v>
      </c>
    </row>
    <row r="148" spans="1:5" x14ac:dyDescent="0.25">
      <c r="A148" s="6" t="s">
        <v>10</v>
      </c>
      <c r="B148" s="6" t="s">
        <v>1</v>
      </c>
      <c r="C148" s="6">
        <v>1</v>
      </c>
      <c r="D148">
        <v>68</v>
      </c>
      <c r="E148" s="1">
        <v>1.0735399999999999</v>
      </c>
    </row>
    <row r="149" spans="1:5" x14ac:dyDescent="0.25">
      <c r="A149" s="6" t="s">
        <v>10</v>
      </c>
      <c r="B149" s="6" t="s">
        <v>1</v>
      </c>
      <c r="C149" s="6">
        <v>1</v>
      </c>
      <c r="D149">
        <v>72</v>
      </c>
      <c r="E149" s="1">
        <v>1.07182</v>
      </c>
    </row>
    <row r="150" spans="1:5" x14ac:dyDescent="0.25">
      <c r="A150" s="6" t="s">
        <v>10</v>
      </c>
      <c r="B150" s="6" t="s">
        <v>1</v>
      </c>
      <c r="C150" s="6">
        <v>1</v>
      </c>
      <c r="D150">
        <v>76</v>
      </c>
      <c r="E150" s="1">
        <v>1.0735399999999999</v>
      </c>
    </row>
    <row r="151" spans="1:5" x14ac:dyDescent="0.25">
      <c r="A151" s="6" t="s">
        <v>10</v>
      </c>
      <c r="B151" s="6" t="s">
        <v>1</v>
      </c>
      <c r="C151" s="6">
        <v>1</v>
      </c>
      <c r="D151">
        <v>80</v>
      </c>
      <c r="E151" s="1">
        <v>1.0787500000000001</v>
      </c>
    </row>
    <row r="152" spans="1:5" x14ac:dyDescent="0.25">
      <c r="A152" s="6" t="s">
        <v>10</v>
      </c>
      <c r="B152" s="6" t="s">
        <v>1</v>
      </c>
      <c r="C152" s="6">
        <v>1</v>
      </c>
      <c r="D152">
        <v>84</v>
      </c>
      <c r="E152" s="1">
        <v>1.0787500000000001</v>
      </c>
    </row>
    <row r="153" spans="1:5" x14ac:dyDescent="0.25">
      <c r="A153" s="6" t="s">
        <v>10</v>
      </c>
      <c r="B153" s="6" t="s">
        <v>1</v>
      </c>
      <c r="C153" s="6">
        <v>2</v>
      </c>
      <c r="D153">
        <v>0</v>
      </c>
      <c r="E153" s="1">
        <v>0.24518000000000001</v>
      </c>
    </row>
    <row r="154" spans="1:5" x14ac:dyDescent="0.25">
      <c r="A154" s="6" t="s">
        <v>10</v>
      </c>
      <c r="B154" s="6" t="s">
        <v>1</v>
      </c>
      <c r="C154" s="6">
        <v>2</v>
      </c>
      <c r="D154">
        <v>4</v>
      </c>
      <c r="E154" s="1">
        <v>0.35946</v>
      </c>
    </row>
    <row r="155" spans="1:5" x14ac:dyDescent="0.25">
      <c r="A155" s="6" t="s">
        <v>10</v>
      </c>
      <c r="B155" s="6" t="s">
        <v>1</v>
      </c>
      <c r="C155" s="6">
        <v>2</v>
      </c>
      <c r="D155">
        <v>8</v>
      </c>
      <c r="E155" s="1">
        <v>0.48032000000000002</v>
      </c>
    </row>
    <row r="156" spans="1:5" x14ac:dyDescent="0.25">
      <c r="A156" s="6" t="s">
        <v>10</v>
      </c>
      <c r="B156" s="6" t="s">
        <v>1</v>
      </c>
      <c r="C156" s="6">
        <v>2</v>
      </c>
      <c r="D156">
        <v>12</v>
      </c>
      <c r="E156" s="1">
        <v>0.59672999999999998</v>
      </c>
    </row>
    <row r="157" spans="1:5" x14ac:dyDescent="0.25">
      <c r="A157" s="6" t="s">
        <v>10</v>
      </c>
      <c r="B157" s="6" t="s">
        <v>1</v>
      </c>
      <c r="C157" s="6">
        <v>2</v>
      </c>
      <c r="D157">
        <v>16</v>
      </c>
      <c r="E157" s="1">
        <v>0.68330999999999997</v>
      </c>
    </row>
    <row r="158" spans="1:5" x14ac:dyDescent="0.25">
      <c r="A158" s="6" t="s">
        <v>10</v>
      </c>
      <c r="B158" s="6" t="s">
        <v>1</v>
      </c>
      <c r="C158" s="6">
        <v>2</v>
      </c>
      <c r="D158">
        <v>20</v>
      </c>
      <c r="E158" s="1">
        <v>0.76207000000000003</v>
      </c>
    </row>
    <row r="159" spans="1:5" x14ac:dyDescent="0.25">
      <c r="A159" s="6" t="s">
        <v>10</v>
      </c>
      <c r="B159" s="6" t="s">
        <v>1</v>
      </c>
      <c r="C159" s="6">
        <v>2</v>
      </c>
      <c r="D159">
        <v>24</v>
      </c>
      <c r="E159" s="1">
        <v>0.85626000000000002</v>
      </c>
    </row>
    <row r="160" spans="1:5" x14ac:dyDescent="0.25">
      <c r="A160" s="6" t="s">
        <v>10</v>
      </c>
      <c r="B160" s="6" t="s">
        <v>1</v>
      </c>
      <c r="C160" s="6">
        <v>2</v>
      </c>
      <c r="D160">
        <v>28</v>
      </c>
      <c r="E160" s="1">
        <v>0.95265</v>
      </c>
    </row>
    <row r="161" spans="1:5" x14ac:dyDescent="0.25">
      <c r="A161" s="6" t="s">
        <v>10</v>
      </c>
      <c r="B161" s="6" t="s">
        <v>1</v>
      </c>
      <c r="C161" s="6">
        <v>2</v>
      </c>
      <c r="D161">
        <v>32</v>
      </c>
      <c r="E161" s="1">
        <v>0.97397</v>
      </c>
    </row>
    <row r="162" spans="1:5" x14ac:dyDescent="0.25">
      <c r="A162" s="6" t="s">
        <v>10</v>
      </c>
      <c r="B162" s="6" t="s">
        <v>1</v>
      </c>
      <c r="C162" s="6">
        <v>2</v>
      </c>
      <c r="D162">
        <v>36</v>
      </c>
      <c r="E162" s="1">
        <v>0.96318000000000004</v>
      </c>
    </row>
    <row r="163" spans="1:5" x14ac:dyDescent="0.25">
      <c r="A163" s="6" t="s">
        <v>10</v>
      </c>
      <c r="B163" s="6" t="s">
        <v>1</v>
      </c>
      <c r="C163" s="6">
        <v>2</v>
      </c>
      <c r="D163">
        <v>40</v>
      </c>
      <c r="E163" s="1">
        <v>0.96318000000000004</v>
      </c>
    </row>
    <row r="164" spans="1:5" x14ac:dyDescent="0.25">
      <c r="A164" s="6" t="s">
        <v>10</v>
      </c>
      <c r="B164" s="6" t="s">
        <v>1</v>
      </c>
      <c r="C164" s="6">
        <v>2</v>
      </c>
      <c r="D164">
        <v>44</v>
      </c>
      <c r="E164" s="1">
        <v>0.96052000000000004</v>
      </c>
    </row>
    <row r="165" spans="1:5" x14ac:dyDescent="0.25">
      <c r="A165" s="6" t="s">
        <v>10</v>
      </c>
      <c r="B165" s="6" t="s">
        <v>1</v>
      </c>
      <c r="C165" s="6">
        <v>2</v>
      </c>
      <c r="D165">
        <v>48</v>
      </c>
      <c r="E165" s="1">
        <v>0.96052000000000004</v>
      </c>
    </row>
    <row r="166" spans="1:5" x14ac:dyDescent="0.25">
      <c r="A166" s="6" t="s">
        <v>10</v>
      </c>
      <c r="B166" s="6" t="s">
        <v>1</v>
      </c>
      <c r="C166" s="6">
        <v>2</v>
      </c>
      <c r="D166">
        <v>52</v>
      </c>
      <c r="E166" s="1">
        <v>0.96052000000000004</v>
      </c>
    </row>
    <row r="167" spans="1:5" x14ac:dyDescent="0.25">
      <c r="A167" s="6" t="s">
        <v>10</v>
      </c>
      <c r="B167" s="6" t="s">
        <v>1</v>
      </c>
      <c r="C167" s="6">
        <v>2</v>
      </c>
      <c r="D167">
        <v>56</v>
      </c>
      <c r="E167" s="1">
        <v>0.95657000000000003</v>
      </c>
    </row>
    <row r="168" spans="1:5" x14ac:dyDescent="0.25">
      <c r="A168" s="6" t="s">
        <v>10</v>
      </c>
      <c r="B168" s="6" t="s">
        <v>1</v>
      </c>
      <c r="C168" s="6">
        <v>2</v>
      </c>
      <c r="D168">
        <v>60</v>
      </c>
      <c r="E168" s="1">
        <v>0.95657000000000003</v>
      </c>
    </row>
    <row r="169" spans="1:5" x14ac:dyDescent="0.25">
      <c r="A169" s="6" t="s">
        <v>10</v>
      </c>
      <c r="B169" s="6" t="s">
        <v>1</v>
      </c>
      <c r="C169" s="6">
        <v>2</v>
      </c>
      <c r="D169">
        <v>64</v>
      </c>
      <c r="E169" s="1">
        <v>0.96184999999999998</v>
      </c>
    </row>
    <row r="170" spans="1:5" x14ac:dyDescent="0.25">
      <c r="A170" s="6" t="s">
        <v>10</v>
      </c>
      <c r="B170" s="6" t="s">
        <v>1</v>
      </c>
      <c r="C170" s="6">
        <v>2</v>
      </c>
      <c r="D170">
        <v>68</v>
      </c>
      <c r="E170" s="1">
        <v>0.95920000000000005</v>
      </c>
    </row>
    <row r="171" spans="1:5" x14ac:dyDescent="0.25">
      <c r="A171" s="6" t="s">
        <v>10</v>
      </c>
      <c r="B171" s="6" t="s">
        <v>1</v>
      </c>
      <c r="C171" s="6">
        <v>2</v>
      </c>
      <c r="D171">
        <v>72</v>
      </c>
      <c r="E171" s="1">
        <v>0.95787999999999995</v>
      </c>
    </row>
    <row r="172" spans="1:5" x14ac:dyDescent="0.25">
      <c r="A172" s="6" t="s">
        <v>10</v>
      </c>
      <c r="B172" s="6" t="s">
        <v>1</v>
      </c>
      <c r="C172" s="6">
        <v>2</v>
      </c>
      <c r="D172">
        <v>76</v>
      </c>
      <c r="E172" s="1">
        <v>0.95787999999999995</v>
      </c>
    </row>
    <row r="173" spans="1:5" x14ac:dyDescent="0.25">
      <c r="A173" s="6" t="s">
        <v>10</v>
      </c>
      <c r="B173" s="6" t="s">
        <v>1</v>
      </c>
      <c r="C173" s="6">
        <v>2</v>
      </c>
      <c r="D173">
        <v>80</v>
      </c>
      <c r="E173" s="1">
        <v>0.95394999999999996</v>
      </c>
    </row>
    <row r="174" spans="1:5" x14ac:dyDescent="0.25">
      <c r="A174" s="6" t="s">
        <v>10</v>
      </c>
      <c r="B174" s="6" t="s">
        <v>1</v>
      </c>
      <c r="C174" s="6">
        <v>2</v>
      </c>
      <c r="D174">
        <v>84</v>
      </c>
      <c r="E174" s="1">
        <v>0.95394999999999996</v>
      </c>
    </row>
    <row r="175" spans="1:5" x14ac:dyDescent="0.25">
      <c r="A175" s="6" t="s">
        <v>10</v>
      </c>
      <c r="B175" s="6" t="s">
        <v>1</v>
      </c>
      <c r="C175" s="6">
        <v>3</v>
      </c>
      <c r="D175">
        <v>0</v>
      </c>
      <c r="E175" s="1">
        <v>0.30909999999999999</v>
      </c>
    </row>
    <row r="176" spans="1:5" x14ac:dyDescent="0.25">
      <c r="A176" s="6" t="s">
        <v>10</v>
      </c>
      <c r="B176" s="6" t="s">
        <v>1</v>
      </c>
      <c r="C176" s="6">
        <v>3</v>
      </c>
      <c r="D176">
        <v>4</v>
      </c>
      <c r="E176" s="1">
        <v>0.39678000000000002</v>
      </c>
    </row>
    <row r="177" spans="1:5" x14ac:dyDescent="0.25">
      <c r="A177" s="6" t="s">
        <v>10</v>
      </c>
      <c r="B177" s="6" t="s">
        <v>1</v>
      </c>
      <c r="C177" s="6">
        <v>3</v>
      </c>
      <c r="D177">
        <v>8</v>
      </c>
      <c r="E177" s="1">
        <v>0.56089</v>
      </c>
    </row>
    <row r="178" spans="1:5" x14ac:dyDescent="0.25">
      <c r="A178" s="6" t="s">
        <v>10</v>
      </c>
      <c r="B178" s="6" t="s">
        <v>1</v>
      </c>
      <c r="C178" s="6">
        <v>3</v>
      </c>
      <c r="D178">
        <v>12</v>
      </c>
      <c r="E178" s="1">
        <v>0.67315000000000003</v>
      </c>
    </row>
    <row r="179" spans="1:5" x14ac:dyDescent="0.25">
      <c r="A179" s="6" t="s">
        <v>10</v>
      </c>
      <c r="B179" s="6" t="s">
        <v>1</v>
      </c>
      <c r="C179" s="6">
        <v>3</v>
      </c>
      <c r="D179">
        <v>16</v>
      </c>
      <c r="E179" s="1">
        <v>0.76597000000000004</v>
      </c>
    </row>
    <row r="180" spans="1:5" x14ac:dyDescent="0.25">
      <c r="A180" s="6" t="s">
        <v>10</v>
      </c>
      <c r="B180" s="6" t="s">
        <v>1</v>
      </c>
      <c r="C180" s="6">
        <v>3</v>
      </c>
      <c r="D180">
        <v>20</v>
      </c>
      <c r="E180" s="1">
        <v>0.84480999999999995</v>
      </c>
    </row>
    <row r="181" spans="1:5" x14ac:dyDescent="0.25">
      <c r="A181" s="6" t="s">
        <v>10</v>
      </c>
      <c r="B181" s="6" t="s">
        <v>1</v>
      </c>
      <c r="C181" s="6">
        <v>3</v>
      </c>
      <c r="D181">
        <v>24</v>
      </c>
      <c r="E181" s="1">
        <v>0.94632000000000005</v>
      </c>
    </row>
    <row r="182" spans="1:5" x14ac:dyDescent="0.25">
      <c r="A182" s="6" t="s">
        <v>10</v>
      </c>
      <c r="B182" s="6" t="s">
        <v>1</v>
      </c>
      <c r="C182" s="6">
        <v>3</v>
      </c>
      <c r="D182">
        <v>28</v>
      </c>
      <c r="E182" s="1">
        <v>1.0470999999999999</v>
      </c>
    </row>
    <row r="183" spans="1:5" x14ac:dyDescent="0.25">
      <c r="A183" s="6" t="s">
        <v>10</v>
      </c>
      <c r="B183" s="6" t="s">
        <v>1</v>
      </c>
      <c r="C183" s="6">
        <v>3</v>
      </c>
      <c r="D183">
        <v>32</v>
      </c>
      <c r="E183" s="1">
        <v>1.0536300000000001</v>
      </c>
    </row>
    <row r="184" spans="1:5" x14ac:dyDescent="0.25">
      <c r="A184" s="6" t="s">
        <v>10</v>
      </c>
      <c r="B184" s="6" t="s">
        <v>1</v>
      </c>
      <c r="C184" s="6">
        <v>3</v>
      </c>
      <c r="D184">
        <v>36</v>
      </c>
      <c r="E184" s="1">
        <v>1.05199</v>
      </c>
    </row>
    <row r="185" spans="1:5" x14ac:dyDescent="0.25">
      <c r="A185" s="6" t="s">
        <v>10</v>
      </c>
      <c r="B185" s="6" t="s">
        <v>1</v>
      </c>
      <c r="C185" s="6">
        <v>3</v>
      </c>
      <c r="D185">
        <v>40</v>
      </c>
      <c r="E185" s="1">
        <v>1.0503499999999999</v>
      </c>
    </row>
    <row r="186" spans="1:5" x14ac:dyDescent="0.25">
      <c r="A186" s="6" t="s">
        <v>10</v>
      </c>
      <c r="B186" s="6" t="s">
        <v>1</v>
      </c>
      <c r="C186" s="6">
        <v>3</v>
      </c>
      <c r="D186">
        <v>44</v>
      </c>
      <c r="E186" s="1">
        <v>1.0487200000000001</v>
      </c>
    </row>
    <row r="187" spans="1:5" x14ac:dyDescent="0.25">
      <c r="A187" s="6" t="s">
        <v>10</v>
      </c>
      <c r="B187" s="6" t="s">
        <v>1</v>
      </c>
      <c r="C187" s="6">
        <v>3</v>
      </c>
      <c r="D187">
        <v>48</v>
      </c>
      <c r="E187" s="1">
        <v>1.0470999999999999</v>
      </c>
    </row>
    <row r="188" spans="1:5" x14ac:dyDescent="0.25">
      <c r="A188" s="6" t="s">
        <v>10</v>
      </c>
      <c r="B188" s="6" t="s">
        <v>1</v>
      </c>
      <c r="C188" s="6">
        <v>3</v>
      </c>
      <c r="D188">
        <v>52</v>
      </c>
      <c r="E188" s="1">
        <v>1.0487200000000001</v>
      </c>
    </row>
    <row r="189" spans="1:5" x14ac:dyDescent="0.25">
      <c r="A189" s="6" t="s">
        <v>10</v>
      </c>
      <c r="B189" s="6" t="s">
        <v>1</v>
      </c>
      <c r="C189" s="6">
        <v>3</v>
      </c>
      <c r="D189">
        <v>56</v>
      </c>
      <c r="E189" s="1">
        <v>1.05199</v>
      </c>
    </row>
    <row r="190" spans="1:5" x14ac:dyDescent="0.25">
      <c r="A190" s="6" t="s">
        <v>10</v>
      </c>
      <c r="B190" s="6" t="s">
        <v>1</v>
      </c>
      <c r="C190" s="6">
        <v>3</v>
      </c>
      <c r="D190">
        <v>60</v>
      </c>
      <c r="E190" s="1">
        <v>1.0487200000000001</v>
      </c>
    </row>
    <row r="191" spans="1:5" x14ac:dyDescent="0.25">
      <c r="A191" s="6" t="s">
        <v>10</v>
      </c>
      <c r="B191" s="6" t="s">
        <v>1</v>
      </c>
      <c r="C191" s="6">
        <v>3</v>
      </c>
      <c r="D191">
        <v>64</v>
      </c>
      <c r="E191" s="1">
        <v>1.0487200000000001</v>
      </c>
    </row>
    <row r="192" spans="1:5" x14ac:dyDescent="0.25">
      <c r="A192" s="6" t="s">
        <v>10</v>
      </c>
      <c r="B192" s="6" t="s">
        <v>1</v>
      </c>
      <c r="C192" s="6">
        <v>3</v>
      </c>
      <c r="D192">
        <v>68</v>
      </c>
      <c r="E192" s="1">
        <v>1.04548</v>
      </c>
    </row>
    <row r="193" spans="1:5" x14ac:dyDescent="0.25">
      <c r="A193" s="6" t="s">
        <v>10</v>
      </c>
      <c r="B193" s="6" t="s">
        <v>1</v>
      </c>
      <c r="C193" s="6">
        <v>3</v>
      </c>
      <c r="D193">
        <v>72</v>
      </c>
      <c r="E193" s="1">
        <v>1.0470999999999999</v>
      </c>
    </row>
    <row r="194" spans="1:5" x14ac:dyDescent="0.25">
      <c r="A194" s="6" t="s">
        <v>10</v>
      </c>
      <c r="B194" s="6" t="s">
        <v>1</v>
      </c>
      <c r="C194" s="6">
        <v>3</v>
      </c>
      <c r="D194">
        <v>76</v>
      </c>
      <c r="E194" s="1">
        <v>1.0470999999999999</v>
      </c>
    </row>
    <row r="195" spans="1:5" x14ac:dyDescent="0.25">
      <c r="A195" s="6" t="s">
        <v>10</v>
      </c>
      <c r="B195" s="6" t="s">
        <v>1</v>
      </c>
      <c r="C195" s="6">
        <v>3</v>
      </c>
      <c r="D195">
        <v>80</v>
      </c>
      <c r="E195" s="1">
        <v>1.04548</v>
      </c>
    </row>
    <row r="196" spans="1:5" x14ac:dyDescent="0.25">
      <c r="A196" s="6" t="s">
        <v>10</v>
      </c>
      <c r="B196" s="6" t="s">
        <v>1</v>
      </c>
      <c r="C196" s="6">
        <v>3</v>
      </c>
      <c r="D196">
        <v>84</v>
      </c>
      <c r="E196" s="1">
        <v>1.04548</v>
      </c>
    </row>
    <row r="197" spans="1:5" x14ac:dyDescent="0.25">
      <c r="A197" s="6" t="s">
        <v>17</v>
      </c>
      <c r="B197" s="6" t="s">
        <v>1</v>
      </c>
      <c r="C197" s="6">
        <v>1</v>
      </c>
      <c r="D197">
        <v>0</v>
      </c>
      <c r="E197">
        <v>0.26100000000000001</v>
      </c>
    </row>
    <row r="198" spans="1:5" x14ac:dyDescent="0.25">
      <c r="A198" s="6" t="s">
        <v>17</v>
      </c>
      <c r="B198" s="6" t="s">
        <v>1</v>
      </c>
      <c r="C198" s="6">
        <v>1</v>
      </c>
      <c r="D198">
        <v>4</v>
      </c>
      <c r="E198">
        <v>0.28088000000000002</v>
      </c>
    </row>
    <row r="199" spans="1:5" x14ac:dyDescent="0.25">
      <c r="A199" s="6" t="s">
        <v>17</v>
      </c>
      <c r="B199" s="6" t="s">
        <v>1</v>
      </c>
      <c r="C199" s="6">
        <v>1</v>
      </c>
      <c r="D199">
        <v>8</v>
      </c>
      <c r="E199">
        <v>0.34999000000000002</v>
      </c>
    </row>
    <row r="200" spans="1:5" x14ac:dyDescent="0.25">
      <c r="A200" s="6" t="s">
        <v>17</v>
      </c>
      <c r="B200" s="6" t="s">
        <v>1</v>
      </c>
      <c r="C200" s="6">
        <v>1</v>
      </c>
      <c r="D200">
        <v>12</v>
      </c>
      <c r="E200">
        <v>0.41276000000000002</v>
      </c>
    </row>
    <row r="201" spans="1:5" x14ac:dyDescent="0.25">
      <c r="A201" s="6" t="s">
        <v>17</v>
      </c>
      <c r="B201" s="6" t="s">
        <v>1</v>
      </c>
      <c r="C201" s="6">
        <v>1</v>
      </c>
      <c r="D201">
        <v>16</v>
      </c>
      <c r="E201">
        <v>0.43143999999999999</v>
      </c>
    </row>
    <row r="202" spans="1:5" x14ac:dyDescent="0.25">
      <c r="A202" s="6" t="s">
        <v>17</v>
      </c>
      <c r="B202" s="6" t="s">
        <v>1</v>
      </c>
      <c r="C202" s="6">
        <v>1</v>
      </c>
      <c r="D202">
        <v>20</v>
      </c>
      <c r="E202">
        <v>0.52834999999999999</v>
      </c>
    </row>
    <row r="203" spans="1:5" x14ac:dyDescent="0.25">
      <c r="A203" s="6" t="s">
        <v>17</v>
      </c>
      <c r="B203" s="6" t="s">
        <v>1</v>
      </c>
      <c r="C203" s="6">
        <v>1</v>
      </c>
      <c r="D203">
        <v>24</v>
      </c>
      <c r="E203">
        <v>0.65654000000000001</v>
      </c>
    </row>
    <row r="204" spans="1:5" x14ac:dyDescent="0.25">
      <c r="A204" s="6" t="s">
        <v>17</v>
      </c>
      <c r="B204" s="6" t="s">
        <v>1</v>
      </c>
      <c r="C204" s="6">
        <v>1</v>
      </c>
      <c r="D204">
        <v>28</v>
      </c>
      <c r="E204">
        <v>0.77029000000000003</v>
      </c>
    </row>
    <row r="205" spans="1:5" x14ac:dyDescent="0.25">
      <c r="A205" s="6" t="s">
        <v>17</v>
      </c>
      <c r="B205" s="6" t="s">
        <v>1</v>
      </c>
      <c r="C205" s="6">
        <v>1</v>
      </c>
      <c r="D205">
        <v>32</v>
      </c>
      <c r="E205">
        <v>0.89893000000000001</v>
      </c>
    </row>
    <row r="206" spans="1:5" x14ac:dyDescent="0.25">
      <c r="A206" s="6" t="s">
        <v>17</v>
      </c>
      <c r="B206" s="6" t="s">
        <v>1</v>
      </c>
      <c r="C206" s="6">
        <v>1</v>
      </c>
      <c r="D206">
        <v>36</v>
      </c>
      <c r="E206">
        <v>1.03467</v>
      </c>
    </row>
    <row r="207" spans="1:5" x14ac:dyDescent="0.25">
      <c r="A207" s="6" t="s">
        <v>17</v>
      </c>
      <c r="B207" s="6" t="s">
        <v>1</v>
      </c>
      <c r="C207" s="6">
        <v>1</v>
      </c>
      <c r="D207">
        <v>40</v>
      </c>
      <c r="E207">
        <v>1.16065</v>
      </c>
    </row>
    <row r="208" spans="1:5" x14ac:dyDescent="0.25">
      <c r="A208" s="6" t="s">
        <v>17</v>
      </c>
      <c r="B208" s="6" t="s">
        <v>1</v>
      </c>
      <c r="C208" s="6">
        <v>1</v>
      </c>
      <c r="D208">
        <v>44</v>
      </c>
      <c r="E208">
        <v>1.2210300000000001</v>
      </c>
    </row>
    <row r="209" spans="1:5" x14ac:dyDescent="0.25">
      <c r="A209" s="6" t="s">
        <v>17</v>
      </c>
      <c r="B209" s="6" t="s">
        <v>1</v>
      </c>
      <c r="C209" s="6">
        <v>1</v>
      </c>
      <c r="D209">
        <v>48</v>
      </c>
      <c r="E209">
        <v>1.2138899999999999</v>
      </c>
    </row>
    <row r="210" spans="1:5" x14ac:dyDescent="0.25">
      <c r="A210" s="6" t="s">
        <v>17</v>
      </c>
      <c r="B210" s="6" t="s">
        <v>1</v>
      </c>
      <c r="C210" s="6">
        <v>1</v>
      </c>
      <c r="D210">
        <v>52</v>
      </c>
      <c r="E210">
        <v>1.2138899999999999</v>
      </c>
    </row>
    <row r="211" spans="1:5" x14ac:dyDescent="0.25">
      <c r="A211" s="6" t="s">
        <v>17</v>
      </c>
      <c r="B211" s="6" t="s">
        <v>1</v>
      </c>
      <c r="C211" s="6">
        <v>1</v>
      </c>
      <c r="D211">
        <v>56</v>
      </c>
      <c r="E211">
        <v>1.2138899999999999</v>
      </c>
    </row>
    <row r="212" spans="1:5" x14ac:dyDescent="0.25">
      <c r="A212" s="6" t="s">
        <v>17</v>
      </c>
      <c r="B212" s="6" t="s">
        <v>1</v>
      </c>
      <c r="C212" s="6">
        <v>1</v>
      </c>
      <c r="D212">
        <v>60</v>
      </c>
      <c r="E212">
        <v>1.2186399999999999</v>
      </c>
    </row>
    <row r="213" spans="1:5" x14ac:dyDescent="0.25">
      <c r="A213" s="6" t="s">
        <v>17</v>
      </c>
      <c r="B213" s="6" t="s">
        <v>1</v>
      </c>
      <c r="C213" s="6">
        <v>1</v>
      </c>
      <c r="D213">
        <v>64</v>
      </c>
      <c r="E213">
        <v>1.2186399999999999</v>
      </c>
    </row>
    <row r="214" spans="1:5" x14ac:dyDescent="0.25">
      <c r="A214" s="6" t="s">
        <v>17</v>
      </c>
      <c r="B214" s="6" t="s">
        <v>1</v>
      </c>
      <c r="C214" s="6">
        <v>1</v>
      </c>
      <c r="D214">
        <v>68</v>
      </c>
      <c r="E214">
        <v>1.2186399999999999</v>
      </c>
    </row>
    <row r="215" spans="1:5" x14ac:dyDescent="0.25">
      <c r="A215" s="6" t="s">
        <v>17</v>
      </c>
      <c r="B215" s="6" t="s">
        <v>1</v>
      </c>
      <c r="C215" s="6">
        <v>1</v>
      </c>
      <c r="D215">
        <v>72</v>
      </c>
      <c r="E215">
        <v>1.2186399999999999</v>
      </c>
    </row>
    <row r="216" spans="1:5" x14ac:dyDescent="0.25">
      <c r="A216" s="6" t="s">
        <v>17</v>
      </c>
      <c r="B216" s="6" t="s">
        <v>1</v>
      </c>
      <c r="C216" s="6">
        <v>1</v>
      </c>
      <c r="D216">
        <v>76</v>
      </c>
      <c r="E216">
        <v>1.2186399999999999</v>
      </c>
    </row>
    <row r="217" spans="1:5" x14ac:dyDescent="0.25">
      <c r="A217" s="6" t="s">
        <v>17</v>
      </c>
      <c r="B217" s="6" t="s">
        <v>1</v>
      </c>
      <c r="C217" s="6">
        <v>1</v>
      </c>
      <c r="D217">
        <v>80</v>
      </c>
      <c r="E217">
        <v>1.2282900000000001</v>
      </c>
    </row>
    <row r="218" spans="1:5" x14ac:dyDescent="0.25">
      <c r="A218" s="6" t="s">
        <v>17</v>
      </c>
      <c r="B218" s="6" t="s">
        <v>1</v>
      </c>
      <c r="C218" s="6">
        <v>1</v>
      </c>
      <c r="D218">
        <v>84</v>
      </c>
      <c r="E218">
        <v>1.2282900000000001</v>
      </c>
    </row>
    <row r="219" spans="1:5" x14ac:dyDescent="0.25">
      <c r="A219" s="6" t="s">
        <v>17</v>
      </c>
      <c r="B219" s="6" t="s">
        <v>1</v>
      </c>
      <c r="C219" s="6">
        <v>1</v>
      </c>
      <c r="D219">
        <v>88</v>
      </c>
      <c r="E219">
        <v>1.2307399999999999</v>
      </c>
    </row>
    <row r="220" spans="1:5" x14ac:dyDescent="0.25">
      <c r="A220" s="6" t="s">
        <v>17</v>
      </c>
      <c r="B220" s="6" t="s">
        <v>1</v>
      </c>
      <c r="C220" s="6">
        <v>1</v>
      </c>
      <c r="D220">
        <v>92</v>
      </c>
      <c r="E220">
        <v>1.2307399999999999</v>
      </c>
    </row>
    <row r="221" spans="1:5" x14ac:dyDescent="0.25">
      <c r="A221" s="6" t="s">
        <v>17</v>
      </c>
      <c r="B221" s="6" t="s">
        <v>1</v>
      </c>
      <c r="C221" s="6">
        <v>1</v>
      </c>
      <c r="D221">
        <v>96</v>
      </c>
      <c r="E221">
        <v>1.2282900000000001</v>
      </c>
    </row>
    <row r="222" spans="1:5" x14ac:dyDescent="0.25">
      <c r="A222" s="6" t="s">
        <v>17</v>
      </c>
      <c r="B222" s="6" t="s">
        <v>1</v>
      </c>
      <c r="C222" s="6">
        <v>1</v>
      </c>
      <c r="D222">
        <v>100</v>
      </c>
      <c r="E222">
        <v>1.2307399999999999</v>
      </c>
    </row>
    <row r="223" spans="1:5" x14ac:dyDescent="0.25">
      <c r="A223" s="6" t="s">
        <v>17</v>
      </c>
      <c r="B223" s="6" t="s">
        <v>1</v>
      </c>
      <c r="C223" s="6">
        <v>1</v>
      </c>
      <c r="D223">
        <v>104</v>
      </c>
      <c r="E223">
        <v>1.23567</v>
      </c>
    </row>
    <row r="224" spans="1:5" x14ac:dyDescent="0.25">
      <c r="A224" s="6" t="s">
        <v>17</v>
      </c>
      <c r="B224" s="6" t="s">
        <v>1</v>
      </c>
      <c r="C224" s="6">
        <v>1</v>
      </c>
      <c r="D224">
        <v>108</v>
      </c>
      <c r="E224">
        <v>1.2332000000000001</v>
      </c>
    </row>
    <row r="225" spans="1:5" x14ac:dyDescent="0.25">
      <c r="A225" s="6" t="s">
        <v>17</v>
      </c>
      <c r="B225" s="6" t="s">
        <v>1</v>
      </c>
      <c r="C225" s="6">
        <v>1</v>
      </c>
      <c r="D225">
        <v>112</v>
      </c>
      <c r="E225">
        <v>1.2381599999999999</v>
      </c>
    </row>
    <row r="226" spans="1:5" x14ac:dyDescent="0.25">
      <c r="A226" s="6" t="s">
        <v>17</v>
      </c>
      <c r="B226" s="6" t="s">
        <v>1</v>
      </c>
      <c r="C226" s="6">
        <v>1</v>
      </c>
      <c r="D226">
        <v>116</v>
      </c>
      <c r="E226">
        <v>1.2457100000000001</v>
      </c>
    </row>
    <row r="227" spans="1:5" x14ac:dyDescent="0.25">
      <c r="A227" s="6" t="s">
        <v>17</v>
      </c>
      <c r="B227" s="6" t="s">
        <v>1</v>
      </c>
      <c r="C227" s="6">
        <v>1</v>
      </c>
      <c r="D227">
        <v>120</v>
      </c>
      <c r="E227">
        <v>1.24318</v>
      </c>
    </row>
    <row r="228" spans="1:5" x14ac:dyDescent="0.25">
      <c r="A228" s="6" t="s">
        <v>17</v>
      </c>
      <c r="B228" s="6" t="s">
        <v>1</v>
      </c>
      <c r="C228" s="6">
        <v>1</v>
      </c>
      <c r="D228">
        <v>124</v>
      </c>
      <c r="E228">
        <v>1.2482599999999999</v>
      </c>
    </row>
    <row r="229" spans="1:5" x14ac:dyDescent="0.25">
      <c r="A229" s="6" t="s">
        <v>17</v>
      </c>
      <c r="B229" s="6" t="s">
        <v>1</v>
      </c>
      <c r="C229" s="6">
        <v>1</v>
      </c>
      <c r="D229">
        <v>128</v>
      </c>
      <c r="E229">
        <v>1.2482599999999999</v>
      </c>
    </row>
    <row r="230" spans="1:5" x14ac:dyDescent="0.25">
      <c r="A230" s="6" t="s">
        <v>17</v>
      </c>
      <c r="B230" s="6" t="s">
        <v>1</v>
      </c>
      <c r="C230" s="6">
        <v>1</v>
      </c>
      <c r="D230">
        <v>132</v>
      </c>
      <c r="E230">
        <v>1.24318</v>
      </c>
    </row>
    <row r="231" spans="1:5" x14ac:dyDescent="0.25">
      <c r="A231" s="6" t="s">
        <v>17</v>
      </c>
      <c r="B231" s="6" t="s">
        <v>1</v>
      </c>
      <c r="C231" s="6">
        <v>1</v>
      </c>
      <c r="D231">
        <v>136</v>
      </c>
      <c r="E231">
        <v>1.2406600000000001</v>
      </c>
    </row>
    <row r="232" spans="1:5" x14ac:dyDescent="0.25">
      <c r="A232" s="6" t="s">
        <v>17</v>
      </c>
      <c r="B232" s="6" t="s">
        <v>1</v>
      </c>
      <c r="C232" s="6">
        <v>1</v>
      </c>
      <c r="D232">
        <v>140</v>
      </c>
      <c r="E232">
        <v>1.2381599999999999</v>
      </c>
    </row>
    <row r="233" spans="1:5" x14ac:dyDescent="0.25">
      <c r="A233" s="6" t="s">
        <v>17</v>
      </c>
      <c r="B233" s="6" t="s">
        <v>1</v>
      </c>
      <c r="C233" s="6">
        <v>1</v>
      </c>
      <c r="D233">
        <v>144</v>
      </c>
      <c r="E233">
        <v>1.2332000000000001</v>
      </c>
    </row>
    <row r="234" spans="1:5" x14ac:dyDescent="0.25">
      <c r="A234" s="6" t="s">
        <v>17</v>
      </c>
      <c r="B234" s="6" t="s">
        <v>1</v>
      </c>
      <c r="C234" s="6">
        <v>1</v>
      </c>
      <c r="D234">
        <v>148</v>
      </c>
      <c r="E234">
        <v>1.2307399999999999</v>
      </c>
    </row>
    <row r="235" spans="1:5" x14ac:dyDescent="0.25">
      <c r="A235" s="6" t="s">
        <v>17</v>
      </c>
      <c r="B235" s="6" t="s">
        <v>1</v>
      </c>
      <c r="C235" s="6">
        <v>1</v>
      </c>
      <c r="D235">
        <v>152</v>
      </c>
      <c r="E235">
        <v>1.2282900000000001</v>
      </c>
    </row>
    <row r="236" spans="1:5" x14ac:dyDescent="0.25">
      <c r="A236" s="6" t="s">
        <v>17</v>
      </c>
      <c r="B236" s="6" t="s">
        <v>1</v>
      </c>
      <c r="C236" s="6">
        <v>2</v>
      </c>
      <c r="D236">
        <v>0</v>
      </c>
      <c r="E236">
        <v>0.215</v>
      </c>
    </row>
    <row r="237" spans="1:5" x14ac:dyDescent="0.25">
      <c r="A237" s="6" t="s">
        <v>17</v>
      </c>
      <c r="B237" s="6" t="s">
        <v>1</v>
      </c>
      <c r="C237" s="6">
        <v>2</v>
      </c>
      <c r="D237">
        <v>4</v>
      </c>
      <c r="E237">
        <v>0.25163999999999997</v>
      </c>
    </row>
    <row r="238" spans="1:5" x14ac:dyDescent="0.25">
      <c r="A238" s="6" t="s">
        <v>17</v>
      </c>
      <c r="B238" s="6" t="s">
        <v>1</v>
      </c>
      <c r="C238" s="6">
        <v>2</v>
      </c>
      <c r="D238">
        <v>8</v>
      </c>
      <c r="E238">
        <v>0.28078999999999998</v>
      </c>
    </row>
    <row r="239" spans="1:5" x14ac:dyDescent="0.25">
      <c r="A239" s="6" t="s">
        <v>17</v>
      </c>
      <c r="B239" s="6" t="s">
        <v>1</v>
      </c>
      <c r="C239" s="6">
        <v>2</v>
      </c>
      <c r="D239">
        <v>12</v>
      </c>
      <c r="E239">
        <v>0.34603</v>
      </c>
    </row>
    <row r="240" spans="1:5" x14ac:dyDescent="0.25">
      <c r="A240" s="6" t="s">
        <v>17</v>
      </c>
      <c r="B240" s="6" t="s">
        <v>1</v>
      </c>
      <c r="C240" s="6">
        <v>2</v>
      </c>
      <c r="D240">
        <v>16</v>
      </c>
      <c r="E240">
        <v>0.39354</v>
      </c>
    </row>
    <row r="241" spans="1:5" x14ac:dyDescent="0.25">
      <c r="A241" s="6" t="s">
        <v>17</v>
      </c>
      <c r="B241" s="6" t="s">
        <v>1</v>
      </c>
      <c r="C241" s="6">
        <v>2</v>
      </c>
      <c r="D241">
        <v>20</v>
      </c>
      <c r="E241">
        <v>0.46766000000000002</v>
      </c>
    </row>
    <row r="242" spans="1:5" x14ac:dyDescent="0.25">
      <c r="A242" s="6" t="s">
        <v>17</v>
      </c>
      <c r="B242" s="6" t="s">
        <v>1</v>
      </c>
      <c r="C242" s="6">
        <v>2</v>
      </c>
      <c r="D242">
        <v>24</v>
      </c>
      <c r="E242">
        <v>0.58570999999999995</v>
      </c>
    </row>
    <row r="243" spans="1:5" x14ac:dyDescent="0.25">
      <c r="A243" s="6" t="s">
        <v>17</v>
      </c>
      <c r="B243" s="6" t="s">
        <v>1</v>
      </c>
      <c r="C243" s="6">
        <v>2</v>
      </c>
      <c r="D243">
        <v>28</v>
      </c>
      <c r="E243">
        <v>0.69637000000000004</v>
      </c>
    </row>
    <row r="244" spans="1:5" x14ac:dyDescent="0.25">
      <c r="A244" s="6" t="s">
        <v>17</v>
      </c>
      <c r="B244" s="6" t="s">
        <v>1</v>
      </c>
      <c r="C244" s="6">
        <v>2</v>
      </c>
      <c r="D244">
        <v>32</v>
      </c>
      <c r="E244">
        <v>0.80091000000000001</v>
      </c>
    </row>
    <row r="245" spans="1:5" x14ac:dyDescent="0.25">
      <c r="A245" s="6" t="s">
        <v>17</v>
      </c>
      <c r="B245" s="6" t="s">
        <v>1</v>
      </c>
      <c r="C245" s="6">
        <v>2</v>
      </c>
      <c r="D245">
        <v>36</v>
      </c>
      <c r="E245">
        <v>0.93511</v>
      </c>
    </row>
    <row r="246" spans="1:5" x14ac:dyDescent="0.25">
      <c r="A246" s="6" t="s">
        <v>17</v>
      </c>
      <c r="B246" s="6" t="s">
        <v>1</v>
      </c>
      <c r="C246" s="6">
        <v>2</v>
      </c>
      <c r="D246">
        <v>40</v>
      </c>
      <c r="E246">
        <v>1.0633900000000001</v>
      </c>
    </row>
    <row r="247" spans="1:5" x14ac:dyDescent="0.25">
      <c r="A247" s="6" t="s">
        <v>17</v>
      </c>
      <c r="B247" s="6" t="s">
        <v>1</v>
      </c>
      <c r="C247" s="6">
        <v>2</v>
      </c>
      <c r="D247">
        <v>44</v>
      </c>
      <c r="E247">
        <v>1.1734899999999999</v>
      </c>
    </row>
    <row r="248" spans="1:5" x14ac:dyDescent="0.25">
      <c r="A248" s="6" t="s">
        <v>17</v>
      </c>
      <c r="B248" s="6" t="s">
        <v>1</v>
      </c>
      <c r="C248" s="6">
        <v>2</v>
      </c>
      <c r="D248">
        <v>48</v>
      </c>
      <c r="E248">
        <v>1.16919</v>
      </c>
    </row>
    <row r="249" spans="1:5" x14ac:dyDescent="0.25">
      <c r="A249" s="6" t="s">
        <v>17</v>
      </c>
      <c r="B249" s="6" t="s">
        <v>1</v>
      </c>
      <c r="C249" s="6">
        <v>2</v>
      </c>
      <c r="D249">
        <v>52</v>
      </c>
      <c r="E249">
        <v>1.16706</v>
      </c>
    </row>
    <row r="250" spans="1:5" x14ac:dyDescent="0.25">
      <c r="A250" s="6" t="s">
        <v>17</v>
      </c>
      <c r="B250" s="6" t="s">
        <v>1</v>
      </c>
      <c r="C250" s="6">
        <v>2</v>
      </c>
      <c r="D250">
        <v>56</v>
      </c>
      <c r="E250">
        <v>1.17134</v>
      </c>
    </row>
    <row r="251" spans="1:5" x14ac:dyDescent="0.25">
      <c r="A251" s="6" t="s">
        <v>17</v>
      </c>
      <c r="B251" s="6" t="s">
        <v>1</v>
      </c>
      <c r="C251" s="6">
        <v>2</v>
      </c>
      <c r="D251">
        <v>60</v>
      </c>
      <c r="E251">
        <v>1.1756599999999999</v>
      </c>
    </row>
    <row r="252" spans="1:5" x14ac:dyDescent="0.25">
      <c r="A252" s="6" t="s">
        <v>17</v>
      </c>
      <c r="B252" s="6" t="s">
        <v>1</v>
      </c>
      <c r="C252" s="6">
        <v>2</v>
      </c>
      <c r="D252">
        <v>64</v>
      </c>
      <c r="E252">
        <v>1.1734899999999999</v>
      </c>
    </row>
    <row r="253" spans="1:5" x14ac:dyDescent="0.25">
      <c r="A253" s="6" t="s">
        <v>17</v>
      </c>
      <c r="B253" s="6" t="s">
        <v>1</v>
      </c>
      <c r="C253" s="6">
        <v>2</v>
      </c>
      <c r="D253">
        <v>68</v>
      </c>
      <c r="E253">
        <v>1.1778299999999999</v>
      </c>
    </row>
    <row r="254" spans="1:5" x14ac:dyDescent="0.25">
      <c r="A254" s="6" t="s">
        <v>17</v>
      </c>
      <c r="B254" s="6" t="s">
        <v>1</v>
      </c>
      <c r="C254" s="6">
        <v>2</v>
      </c>
      <c r="D254">
        <v>72</v>
      </c>
      <c r="E254">
        <v>1.1756599999999999</v>
      </c>
    </row>
    <row r="255" spans="1:5" x14ac:dyDescent="0.25">
      <c r="A255" s="6" t="s">
        <v>17</v>
      </c>
      <c r="B255" s="6" t="s">
        <v>1</v>
      </c>
      <c r="C255" s="6">
        <v>2</v>
      </c>
      <c r="D255">
        <v>76</v>
      </c>
      <c r="E255">
        <v>1.1756599999999999</v>
      </c>
    </row>
    <row r="256" spans="1:5" x14ac:dyDescent="0.25">
      <c r="A256" s="6" t="s">
        <v>17</v>
      </c>
      <c r="B256" s="6" t="s">
        <v>1</v>
      </c>
      <c r="C256" s="6">
        <v>2</v>
      </c>
      <c r="D256">
        <v>80</v>
      </c>
      <c r="E256">
        <v>1.1778299999999999</v>
      </c>
    </row>
    <row r="257" spans="1:5" x14ac:dyDescent="0.25">
      <c r="A257" s="6" t="s">
        <v>17</v>
      </c>
      <c r="B257" s="6" t="s">
        <v>1</v>
      </c>
      <c r="C257" s="6">
        <v>2</v>
      </c>
      <c r="D257">
        <v>84</v>
      </c>
      <c r="E257">
        <v>1.1756599999999999</v>
      </c>
    </row>
    <row r="258" spans="1:5" x14ac:dyDescent="0.25">
      <c r="A258" s="6" t="s">
        <v>17</v>
      </c>
      <c r="B258" s="6" t="s">
        <v>1</v>
      </c>
      <c r="C258" s="6">
        <v>2</v>
      </c>
      <c r="D258">
        <v>88</v>
      </c>
      <c r="E258">
        <v>1.1778299999999999</v>
      </c>
    </row>
    <row r="259" spans="1:5" x14ac:dyDescent="0.25">
      <c r="A259" s="6" t="s">
        <v>17</v>
      </c>
      <c r="B259" s="6" t="s">
        <v>1</v>
      </c>
      <c r="C259" s="6">
        <v>2</v>
      </c>
      <c r="D259">
        <v>92</v>
      </c>
      <c r="E259">
        <v>1.1778299999999999</v>
      </c>
    </row>
    <row r="260" spans="1:5" x14ac:dyDescent="0.25">
      <c r="A260" s="6" t="s">
        <v>17</v>
      </c>
      <c r="B260" s="6" t="s">
        <v>1</v>
      </c>
      <c r="C260" s="6">
        <v>2</v>
      </c>
      <c r="D260">
        <v>96</v>
      </c>
      <c r="E260">
        <v>1.1800200000000001</v>
      </c>
    </row>
    <row r="261" spans="1:5" x14ac:dyDescent="0.25">
      <c r="A261" s="6" t="s">
        <v>17</v>
      </c>
      <c r="B261" s="6" t="s">
        <v>1</v>
      </c>
      <c r="C261" s="6">
        <v>2</v>
      </c>
      <c r="D261">
        <v>100</v>
      </c>
      <c r="E261">
        <v>1.18222</v>
      </c>
    </row>
    <row r="262" spans="1:5" x14ac:dyDescent="0.25">
      <c r="A262" s="6" t="s">
        <v>17</v>
      </c>
      <c r="B262" s="6" t="s">
        <v>1</v>
      </c>
      <c r="C262" s="6">
        <v>2</v>
      </c>
      <c r="D262">
        <v>104</v>
      </c>
      <c r="E262">
        <v>1.18889</v>
      </c>
    </row>
    <row r="263" spans="1:5" x14ac:dyDescent="0.25">
      <c r="A263" s="6" t="s">
        <v>17</v>
      </c>
      <c r="B263" s="6" t="s">
        <v>1</v>
      </c>
      <c r="C263" s="6">
        <v>2</v>
      </c>
      <c r="D263">
        <v>108</v>
      </c>
      <c r="E263">
        <v>1.18889</v>
      </c>
    </row>
    <row r="264" spans="1:5" x14ac:dyDescent="0.25">
      <c r="A264" s="6" t="s">
        <v>17</v>
      </c>
      <c r="B264" s="6" t="s">
        <v>1</v>
      </c>
      <c r="C264" s="6">
        <v>2</v>
      </c>
      <c r="D264">
        <v>112</v>
      </c>
      <c r="E264">
        <v>1.18889</v>
      </c>
    </row>
    <row r="265" spans="1:5" x14ac:dyDescent="0.25">
      <c r="A265" s="6" t="s">
        <v>17</v>
      </c>
      <c r="B265" s="6" t="s">
        <v>1</v>
      </c>
      <c r="C265" s="6">
        <v>2</v>
      </c>
      <c r="D265">
        <v>116</v>
      </c>
      <c r="E265">
        <v>1.1956500000000001</v>
      </c>
    </row>
    <row r="266" spans="1:5" x14ac:dyDescent="0.25">
      <c r="A266" s="6" t="s">
        <v>17</v>
      </c>
      <c r="B266" s="6" t="s">
        <v>1</v>
      </c>
      <c r="C266" s="6">
        <v>2</v>
      </c>
      <c r="D266">
        <v>120</v>
      </c>
      <c r="E266">
        <v>1.1956500000000001</v>
      </c>
    </row>
    <row r="267" spans="1:5" x14ac:dyDescent="0.25">
      <c r="A267" s="6" t="s">
        <v>17</v>
      </c>
      <c r="B267" s="6" t="s">
        <v>1</v>
      </c>
      <c r="C267" s="6">
        <v>2</v>
      </c>
      <c r="D267">
        <v>124</v>
      </c>
      <c r="E267">
        <v>1.1956500000000001</v>
      </c>
    </row>
    <row r="268" spans="1:5" x14ac:dyDescent="0.25">
      <c r="A268" s="6" t="s">
        <v>17</v>
      </c>
      <c r="B268" s="6" t="s">
        <v>1</v>
      </c>
      <c r="C268" s="6">
        <v>2</v>
      </c>
      <c r="D268">
        <v>128</v>
      </c>
      <c r="E268">
        <v>1.2002200000000001</v>
      </c>
    </row>
    <row r="269" spans="1:5" x14ac:dyDescent="0.25">
      <c r="A269" s="6" t="s">
        <v>17</v>
      </c>
      <c r="B269" s="6" t="s">
        <v>1</v>
      </c>
      <c r="C269" s="6">
        <v>2</v>
      </c>
      <c r="D269">
        <v>132</v>
      </c>
      <c r="E269">
        <v>1.1979299999999999</v>
      </c>
    </row>
    <row r="270" spans="1:5" x14ac:dyDescent="0.25">
      <c r="A270" s="6" t="s">
        <v>17</v>
      </c>
      <c r="B270" s="6" t="s">
        <v>1</v>
      </c>
      <c r="C270" s="6">
        <v>2</v>
      </c>
      <c r="D270">
        <v>136</v>
      </c>
      <c r="E270">
        <v>1.1979299999999999</v>
      </c>
    </row>
    <row r="271" spans="1:5" x14ac:dyDescent="0.25">
      <c r="A271" s="6" t="s">
        <v>17</v>
      </c>
      <c r="B271" s="6" t="s">
        <v>1</v>
      </c>
      <c r="C271" s="6">
        <v>2</v>
      </c>
      <c r="D271">
        <v>140</v>
      </c>
      <c r="E271">
        <v>1.19339</v>
      </c>
    </row>
    <row r="272" spans="1:5" x14ac:dyDescent="0.25">
      <c r="A272" s="6" t="s">
        <v>17</v>
      </c>
      <c r="B272" s="6" t="s">
        <v>1</v>
      </c>
      <c r="C272" s="6">
        <v>2</v>
      </c>
      <c r="D272">
        <v>144</v>
      </c>
      <c r="E272">
        <v>1.18889</v>
      </c>
    </row>
    <row r="273" spans="1:5" x14ac:dyDescent="0.25">
      <c r="A273" s="6" t="s">
        <v>17</v>
      </c>
      <c r="B273" s="6" t="s">
        <v>1</v>
      </c>
      <c r="C273" s="6">
        <v>2</v>
      </c>
      <c r="D273">
        <v>148</v>
      </c>
      <c r="E273">
        <v>1.18889</v>
      </c>
    </row>
    <row r="274" spans="1:5" x14ac:dyDescent="0.25">
      <c r="A274" s="6" t="s">
        <v>17</v>
      </c>
      <c r="B274" s="6" t="s">
        <v>1</v>
      </c>
      <c r="C274" s="6">
        <v>2</v>
      </c>
      <c r="D274">
        <v>152</v>
      </c>
      <c r="E274">
        <v>1.19113</v>
      </c>
    </row>
    <row r="275" spans="1:5" x14ac:dyDescent="0.25">
      <c r="A275" s="6" t="s">
        <v>17</v>
      </c>
      <c r="B275" s="6" t="s">
        <v>1</v>
      </c>
      <c r="C275" s="6">
        <v>3</v>
      </c>
      <c r="D275">
        <v>0</v>
      </c>
      <c r="E275">
        <v>0.216</v>
      </c>
    </row>
    <row r="276" spans="1:5" x14ac:dyDescent="0.25">
      <c r="A276" s="6" t="s">
        <v>17</v>
      </c>
      <c r="B276" s="6" t="s">
        <v>1</v>
      </c>
      <c r="C276" s="6">
        <v>3</v>
      </c>
      <c r="D276">
        <v>4</v>
      </c>
      <c r="E276">
        <v>0.22486</v>
      </c>
    </row>
    <row r="277" spans="1:5" x14ac:dyDescent="0.25">
      <c r="A277" s="6" t="s">
        <v>17</v>
      </c>
      <c r="B277" s="6" t="s">
        <v>1</v>
      </c>
      <c r="C277" s="6">
        <v>3</v>
      </c>
      <c r="D277">
        <v>8</v>
      </c>
      <c r="E277">
        <v>0.28970000000000001</v>
      </c>
    </row>
    <row r="278" spans="1:5" x14ac:dyDescent="0.25">
      <c r="A278" s="6" t="s">
        <v>17</v>
      </c>
      <c r="B278" s="6" t="s">
        <v>1</v>
      </c>
      <c r="C278" s="6">
        <v>3</v>
      </c>
      <c r="D278">
        <v>12</v>
      </c>
      <c r="E278">
        <v>0.36058000000000001</v>
      </c>
    </row>
    <row r="279" spans="1:5" x14ac:dyDescent="0.25">
      <c r="A279" s="6" t="s">
        <v>17</v>
      </c>
      <c r="B279" s="6" t="s">
        <v>1</v>
      </c>
      <c r="C279" s="6">
        <v>3</v>
      </c>
      <c r="D279">
        <v>16</v>
      </c>
      <c r="E279">
        <v>0.38070999999999999</v>
      </c>
    </row>
    <row r="280" spans="1:5" x14ac:dyDescent="0.25">
      <c r="A280" s="6" t="s">
        <v>17</v>
      </c>
      <c r="B280" s="6" t="s">
        <v>1</v>
      </c>
      <c r="C280" s="6">
        <v>3</v>
      </c>
      <c r="D280">
        <v>20</v>
      </c>
      <c r="E280">
        <v>0.44899</v>
      </c>
    </row>
    <row r="281" spans="1:5" x14ac:dyDescent="0.25">
      <c r="A281" s="6" t="s">
        <v>17</v>
      </c>
      <c r="B281" s="6" t="s">
        <v>1</v>
      </c>
      <c r="C281" s="6">
        <v>3</v>
      </c>
      <c r="D281">
        <v>24</v>
      </c>
      <c r="E281">
        <v>0.52907000000000004</v>
      </c>
    </row>
    <row r="282" spans="1:5" x14ac:dyDescent="0.25">
      <c r="A282" s="6" t="s">
        <v>17</v>
      </c>
      <c r="B282" s="6" t="s">
        <v>1</v>
      </c>
      <c r="C282" s="6">
        <v>3</v>
      </c>
      <c r="D282">
        <v>28</v>
      </c>
      <c r="E282">
        <v>0.65995000000000004</v>
      </c>
    </row>
    <row r="283" spans="1:5" x14ac:dyDescent="0.25">
      <c r="A283" s="6" t="s">
        <v>17</v>
      </c>
      <c r="B283" s="6" t="s">
        <v>1</v>
      </c>
      <c r="C283" s="6">
        <v>3</v>
      </c>
      <c r="D283">
        <v>32</v>
      </c>
      <c r="E283">
        <v>0.77395999999999998</v>
      </c>
    </row>
    <row r="284" spans="1:5" x14ac:dyDescent="0.25">
      <c r="A284" s="6" t="s">
        <v>17</v>
      </c>
      <c r="B284" s="6" t="s">
        <v>1</v>
      </c>
      <c r="C284" s="6">
        <v>3</v>
      </c>
      <c r="D284">
        <v>36</v>
      </c>
      <c r="E284">
        <v>0.90381999999999996</v>
      </c>
    </row>
    <row r="285" spans="1:5" x14ac:dyDescent="0.25">
      <c r="A285" s="6" t="s">
        <v>17</v>
      </c>
      <c r="B285" s="6" t="s">
        <v>1</v>
      </c>
      <c r="C285" s="6">
        <v>3</v>
      </c>
      <c r="D285">
        <v>40</v>
      </c>
      <c r="E285">
        <v>1.02528</v>
      </c>
    </row>
    <row r="286" spans="1:5" x14ac:dyDescent="0.25">
      <c r="A286" s="6" t="s">
        <v>17</v>
      </c>
      <c r="B286" s="6" t="s">
        <v>1</v>
      </c>
      <c r="C286" s="6">
        <v>3</v>
      </c>
      <c r="D286">
        <v>44</v>
      </c>
      <c r="E286">
        <v>1.15124</v>
      </c>
    </row>
    <row r="287" spans="1:5" x14ac:dyDescent="0.25">
      <c r="A287" s="6" t="s">
        <v>17</v>
      </c>
      <c r="B287" s="6" t="s">
        <v>1</v>
      </c>
      <c r="C287" s="6">
        <v>3</v>
      </c>
      <c r="D287">
        <v>48</v>
      </c>
      <c r="E287">
        <v>1.18106</v>
      </c>
    </row>
    <row r="288" spans="1:5" x14ac:dyDescent="0.25">
      <c r="A288" s="6" t="s">
        <v>17</v>
      </c>
      <c r="B288" s="6" t="s">
        <v>1</v>
      </c>
      <c r="C288" s="6">
        <v>3</v>
      </c>
      <c r="D288">
        <v>52</v>
      </c>
      <c r="E288">
        <v>1.1854899999999999</v>
      </c>
    </row>
    <row r="289" spans="1:5" x14ac:dyDescent="0.25">
      <c r="A289" s="6" t="s">
        <v>17</v>
      </c>
      <c r="B289" s="6" t="s">
        <v>1</v>
      </c>
      <c r="C289" s="6">
        <v>3</v>
      </c>
      <c r="D289">
        <v>56</v>
      </c>
      <c r="E289">
        <v>1.1922200000000001</v>
      </c>
    </row>
    <row r="290" spans="1:5" x14ac:dyDescent="0.25">
      <c r="A290" s="6" t="s">
        <v>17</v>
      </c>
      <c r="B290" s="6" t="s">
        <v>1</v>
      </c>
      <c r="C290" s="6">
        <v>3</v>
      </c>
      <c r="D290">
        <v>60</v>
      </c>
      <c r="E290">
        <v>1.1944900000000001</v>
      </c>
    </row>
    <row r="291" spans="1:5" x14ac:dyDescent="0.25">
      <c r="A291" s="6" t="s">
        <v>17</v>
      </c>
      <c r="B291" s="6" t="s">
        <v>1</v>
      </c>
      <c r="C291" s="6">
        <v>3</v>
      </c>
      <c r="D291">
        <v>64</v>
      </c>
      <c r="E291">
        <v>1.19906</v>
      </c>
    </row>
    <row r="292" spans="1:5" x14ac:dyDescent="0.25">
      <c r="A292" s="6" t="s">
        <v>17</v>
      </c>
      <c r="B292" s="6" t="s">
        <v>1</v>
      </c>
      <c r="C292" s="6">
        <v>3</v>
      </c>
      <c r="D292">
        <v>68</v>
      </c>
      <c r="E292">
        <v>1.1967699999999999</v>
      </c>
    </row>
    <row r="293" spans="1:5" x14ac:dyDescent="0.25">
      <c r="A293" s="6" t="s">
        <v>17</v>
      </c>
      <c r="B293" s="6" t="s">
        <v>1</v>
      </c>
      <c r="C293" s="6">
        <v>3</v>
      </c>
      <c r="D293">
        <v>72</v>
      </c>
      <c r="E293">
        <v>1.20137</v>
      </c>
    </row>
    <row r="294" spans="1:5" x14ac:dyDescent="0.25">
      <c r="A294" s="6" t="s">
        <v>17</v>
      </c>
      <c r="B294" s="6" t="s">
        <v>1</v>
      </c>
      <c r="C294" s="6">
        <v>3</v>
      </c>
      <c r="D294">
        <v>76</v>
      </c>
      <c r="E294">
        <v>1.2036800000000001</v>
      </c>
    </row>
    <row r="295" spans="1:5" x14ac:dyDescent="0.25">
      <c r="A295" s="6" t="s">
        <v>17</v>
      </c>
      <c r="B295" s="6" t="s">
        <v>1</v>
      </c>
      <c r="C295" s="6">
        <v>3</v>
      </c>
      <c r="D295">
        <v>80</v>
      </c>
      <c r="E295">
        <v>1.20835</v>
      </c>
    </row>
    <row r="296" spans="1:5" x14ac:dyDescent="0.25">
      <c r="A296" s="6" t="s">
        <v>17</v>
      </c>
      <c r="B296" s="6" t="s">
        <v>1</v>
      </c>
      <c r="C296" s="6">
        <v>3</v>
      </c>
      <c r="D296">
        <v>84</v>
      </c>
      <c r="E296">
        <v>1.20835</v>
      </c>
    </row>
    <row r="297" spans="1:5" x14ac:dyDescent="0.25">
      <c r="A297" s="6" t="s">
        <v>17</v>
      </c>
      <c r="B297" s="6" t="s">
        <v>1</v>
      </c>
      <c r="C297" s="6">
        <v>3</v>
      </c>
      <c r="D297">
        <v>88</v>
      </c>
      <c r="E297">
        <v>1.2130700000000001</v>
      </c>
    </row>
    <row r="298" spans="1:5" x14ac:dyDescent="0.25">
      <c r="A298" s="6" t="s">
        <v>17</v>
      </c>
      <c r="B298" s="6" t="s">
        <v>1</v>
      </c>
      <c r="C298" s="6">
        <v>3</v>
      </c>
      <c r="D298">
        <v>92</v>
      </c>
      <c r="E298">
        <v>1.20835</v>
      </c>
    </row>
    <row r="299" spans="1:5" x14ac:dyDescent="0.25">
      <c r="A299" s="6" t="s">
        <v>17</v>
      </c>
      <c r="B299" s="6" t="s">
        <v>1</v>
      </c>
      <c r="C299" s="6">
        <v>3</v>
      </c>
      <c r="D299">
        <v>96</v>
      </c>
      <c r="E299">
        <v>1.21071</v>
      </c>
    </row>
    <row r="300" spans="1:5" x14ac:dyDescent="0.25">
      <c r="A300" s="6" t="s">
        <v>17</v>
      </c>
      <c r="B300" s="6" t="s">
        <v>1</v>
      </c>
      <c r="C300" s="6">
        <v>3</v>
      </c>
      <c r="D300">
        <v>100</v>
      </c>
      <c r="E300">
        <v>1.2154499999999999</v>
      </c>
    </row>
    <row r="301" spans="1:5" x14ac:dyDescent="0.25">
      <c r="A301" s="6" t="s">
        <v>17</v>
      </c>
      <c r="B301" s="6" t="s">
        <v>1</v>
      </c>
      <c r="C301" s="6">
        <v>3</v>
      </c>
      <c r="D301">
        <v>104</v>
      </c>
      <c r="E301">
        <v>1.2178500000000001</v>
      </c>
    </row>
    <row r="302" spans="1:5" x14ac:dyDescent="0.25">
      <c r="A302" s="6" t="s">
        <v>17</v>
      </c>
      <c r="B302" s="6" t="s">
        <v>1</v>
      </c>
      <c r="C302" s="6">
        <v>3</v>
      </c>
      <c r="D302">
        <v>108</v>
      </c>
      <c r="E302">
        <v>1.2202500000000001</v>
      </c>
    </row>
    <row r="303" spans="1:5" x14ac:dyDescent="0.25">
      <c r="A303" s="6" t="s">
        <v>17</v>
      </c>
      <c r="B303" s="6" t="s">
        <v>1</v>
      </c>
      <c r="C303" s="6">
        <v>3</v>
      </c>
      <c r="D303">
        <v>112</v>
      </c>
      <c r="E303">
        <v>1.2251099999999999</v>
      </c>
    </row>
    <row r="304" spans="1:5" x14ac:dyDescent="0.25">
      <c r="A304" s="6" t="s">
        <v>17</v>
      </c>
      <c r="B304" s="6" t="s">
        <v>1</v>
      </c>
      <c r="C304" s="6">
        <v>3</v>
      </c>
      <c r="D304">
        <v>116</v>
      </c>
      <c r="E304">
        <v>1.2251099999999999</v>
      </c>
    </row>
    <row r="305" spans="1:5" x14ac:dyDescent="0.25">
      <c r="A305" s="6" t="s">
        <v>17</v>
      </c>
      <c r="B305" s="6" t="s">
        <v>1</v>
      </c>
      <c r="C305" s="6">
        <v>3</v>
      </c>
      <c r="D305">
        <v>120</v>
      </c>
      <c r="E305">
        <v>1.2251099999999999</v>
      </c>
    </row>
    <row r="306" spans="1:5" x14ac:dyDescent="0.25">
      <c r="A306" s="6" t="s">
        <v>17</v>
      </c>
      <c r="B306" s="6" t="s">
        <v>1</v>
      </c>
      <c r="C306" s="6">
        <v>3</v>
      </c>
      <c r="D306">
        <v>124</v>
      </c>
      <c r="E306">
        <v>1.2324900000000001</v>
      </c>
    </row>
    <row r="307" spans="1:5" x14ac:dyDescent="0.25">
      <c r="A307" s="6" t="s">
        <v>17</v>
      </c>
      <c r="B307" s="6" t="s">
        <v>1</v>
      </c>
      <c r="C307" s="6">
        <v>3</v>
      </c>
      <c r="D307">
        <v>128</v>
      </c>
      <c r="E307">
        <v>1.23498</v>
      </c>
    </row>
    <row r="308" spans="1:5" x14ac:dyDescent="0.25">
      <c r="A308" s="6" t="s">
        <v>17</v>
      </c>
      <c r="B308" s="6" t="s">
        <v>1</v>
      </c>
      <c r="C308" s="6">
        <v>3</v>
      </c>
      <c r="D308">
        <v>132</v>
      </c>
      <c r="E308">
        <v>1.23498</v>
      </c>
    </row>
    <row r="309" spans="1:5" x14ac:dyDescent="0.25">
      <c r="A309" s="6" t="s">
        <v>17</v>
      </c>
      <c r="B309" s="6" t="s">
        <v>1</v>
      </c>
      <c r="C309" s="6">
        <v>3</v>
      </c>
      <c r="D309">
        <v>136</v>
      </c>
      <c r="E309">
        <v>1.23498</v>
      </c>
    </row>
    <row r="310" spans="1:5" x14ac:dyDescent="0.25">
      <c r="A310" s="6" t="s">
        <v>17</v>
      </c>
      <c r="B310" s="6" t="s">
        <v>1</v>
      </c>
      <c r="C310" s="6">
        <v>3</v>
      </c>
      <c r="D310">
        <v>140</v>
      </c>
      <c r="E310">
        <v>1.2374799999999999</v>
      </c>
    </row>
    <row r="311" spans="1:5" x14ac:dyDescent="0.25">
      <c r="A311" s="6" t="s">
        <v>17</v>
      </c>
      <c r="B311" s="6" t="s">
        <v>1</v>
      </c>
      <c r="C311" s="6">
        <v>3</v>
      </c>
      <c r="D311">
        <v>144</v>
      </c>
      <c r="E311">
        <v>1.2324900000000001</v>
      </c>
    </row>
    <row r="312" spans="1:5" x14ac:dyDescent="0.25">
      <c r="A312" s="6" t="s">
        <v>17</v>
      </c>
      <c r="B312" s="6" t="s">
        <v>1</v>
      </c>
      <c r="C312" s="6">
        <v>3</v>
      </c>
      <c r="D312">
        <v>148</v>
      </c>
      <c r="E312">
        <v>1.23498</v>
      </c>
    </row>
    <row r="313" spans="1:5" x14ac:dyDescent="0.25">
      <c r="A313" s="6" t="s">
        <v>17</v>
      </c>
      <c r="B313" s="6" t="s">
        <v>1</v>
      </c>
      <c r="C313" s="6">
        <v>3</v>
      </c>
      <c r="D313">
        <v>152</v>
      </c>
      <c r="E313">
        <v>1.23498</v>
      </c>
    </row>
    <row r="314" spans="1:5" x14ac:dyDescent="0.25">
      <c r="A314" s="6" t="s">
        <v>8</v>
      </c>
      <c r="B314" s="6" t="s">
        <v>1</v>
      </c>
      <c r="C314" s="6">
        <v>1</v>
      </c>
      <c r="D314">
        <v>0</v>
      </c>
      <c r="E314">
        <v>0.27</v>
      </c>
    </row>
    <row r="315" spans="1:5" x14ac:dyDescent="0.25">
      <c r="A315" s="6" t="s">
        <v>8</v>
      </c>
      <c r="B315" s="6" t="s">
        <v>1</v>
      </c>
      <c r="C315" s="6">
        <v>1</v>
      </c>
      <c r="D315">
        <v>4</v>
      </c>
      <c r="E315">
        <v>0.27600999999999998</v>
      </c>
    </row>
    <row r="316" spans="1:5" x14ac:dyDescent="0.25">
      <c r="A316" s="6" t="s">
        <v>8</v>
      </c>
      <c r="B316" s="6" t="s">
        <v>1</v>
      </c>
      <c r="C316" s="6">
        <v>1</v>
      </c>
      <c r="D316">
        <v>8</v>
      </c>
      <c r="E316">
        <v>0.33037</v>
      </c>
    </row>
    <row r="317" spans="1:5" x14ac:dyDescent="0.25">
      <c r="A317" s="6" t="s">
        <v>8</v>
      </c>
      <c r="B317" s="6" t="s">
        <v>1</v>
      </c>
      <c r="C317" s="6">
        <v>1</v>
      </c>
      <c r="D317">
        <v>12</v>
      </c>
      <c r="E317">
        <v>0.41349000000000002</v>
      </c>
    </row>
    <row r="318" spans="1:5" x14ac:dyDescent="0.25">
      <c r="A318" s="6" t="s">
        <v>8</v>
      </c>
      <c r="B318" s="6" t="s">
        <v>1</v>
      </c>
      <c r="C318" s="6">
        <v>1</v>
      </c>
      <c r="D318">
        <v>16</v>
      </c>
      <c r="E318">
        <v>0.53742999999999996</v>
      </c>
    </row>
    <row r="319" spans="1:5" x14ac:dyDescent="0.25">
      <c r="A319" s="6" t="s">
        <v>8</v>
      </c>
      <c r="B319" s="6" t="s">
        <v>1</v>
      </c>
      <c r="C319" s="6">
        <v>1</v>
      </c>
      <c r="D319">
        <v>20</v>
      </c>
      <c r="E319">
        <v>0.68747999999999998</v>
      </c>
    </row>
    <row r="320" spans="1:5" x14ac:dyDescent="0.25">
      <c r="A320" s="6" t="s">
        <v>8</v>
      </c>
      <c r="B320" s="6" t="s">
        <v>1</v>
      </c>
      <c r="C320" s="6">
        <v>1</v>
      </c>
      <c r="D320">
        <v>24</v>
      </c>
      <c r="E320">
        <v>0.78564000000000001</v>
      </c>
    </row>
    <row r="321" spans="1:5" x14ac:dyDescent="0.25">
      <c r="A321" s="6" t="s">
        <v>8</v>
      </c>
      <c r="B321" s="6" t="s">
        <v>1</v>
      </c>
      <c r="C321" s="6">
        <v>1</v>
      </c>
      <c r="D321">
        <v>28</v>
      </c>
      <c r="E321">
        <v>0.87287999999999999</v>
      </c>
    </row>
    <row r="322" spans="1:5" x14ac:dyDescent="0.25">
      <c r="A322" s="6" t="s">
        <v>8</v>
      </c>
      <c r="B322" s="6" t="s">
        <v>1</v>
      </c>
      <c r="C322" s="6">
        <v>1</v>
      </c>
      <c r="D322">
        <v>32</v>
      </c>
      <c r="E322">
        <v>0.97526000000000002</v>
      </c>
    </row>
    <row r="323" spans="1:5" x14ac:dyDescent="0.25">
      <c r="A323" s="6" t="s">
        <v>8</v>
      </c>
      <c r="B323" s="6" t="s">
        <v>1</v>
      </c>
      <c r="C323" s="6">
        <v>1</v>
      </c>
      <c r="D323">
        <v>36</v>
      </c>
      <c r="E323">
        <v>1.09473</v>
      </c>
    </row>
    <row r="324" spans="1:5" x14ac:dyDescent="0.25">
      <c r="A324" s="6" t="s">
        <v>8</v>
      </c>
      <c r="B324" s="6" t="s">
        <v>1</v>
      </c>
      <c r="C324" s="6">
        <v>1</v>
      </c>
      <c r="D324">
        <v>40</v>
      </c>
      <c r="E324">
        <v>1.2172700000000001</v>
      </c>
    </row>
    <row r="325" spans="1:5" x14ac:dyDescent="0.25">
      <c r="A325" s="6" t="s">
        <v>8</v>
      </c>
      <c r="B325" s="6" t="s">
        <v>1</v>
      </c>
      <c r="C325" s="6">
        <v>1</v>
      </c>
      <c r="D325">
        <v>44</v>
      </c>
      <c r="E325">
        <v>1.1760900000000001</v>
      </c>
    </row>
    <row r="326" spans="1:5" x14ac:dyDescent="0.25">
      <c r="A326" s="6" t="s">
        <v>8</v>
      </c>
      <c r="B326" s="6" t="s">
        <v>1</v>
      </c>
      <c r="C326" s="6">
        <v>1</v>
      </c>
      <c r="D326">
        <v>48</v>
      </c>
      <c r="E326">
        <v>1.1871400000000001</v>
      </c>
    </row>
    <row r="327" spans="1:5" x14ac:dyDescent="0.25">
      <c r="A327" s="6" t="s">
        <v>8</v>
      </c>
      <c r="B327" s="6" t="s">
        <v>1</v>
      </c>
      <c r="C327" s="6">
        <v>1</v>
      </c>
      <c r="D327">
        <v>52</v>
      </c>
      <c r="E327">
        <v>1.20079</v>
      </c>
    </row>
    <row r="328" spans="1:5" x14ac:dyDescent="0.25">
      <c r="A328" s="6" t="s">
        <v>8</v>
      </c>
      <c r="B328" s="6" t="s">
        <v>1</v>
      </c>
      <c r="C328" s="6">
        <v>1</v>
      </c>
      <c r="D328">
        <v>56</v>
      </c>
      <c r="E328">
        <v>1.19848</v>
      </c>
    </row>
    <row r="329" spans="1:5" x14ac:dyDescent="0.25">
      <c r="A329" s="6" t="s">
        <v>8</v>
      </c>
      <c r="B329" s="6" t="s">
        <v>1</v>
      </c>
      <c r="C329" s="6">
        <v>1</v>
      </c>
      <c r="D329">
        <v>60</v>
      </c>
      <c r="E329">
        <v>1.20543</v>
      </c>
    </row>
    <row r="330" spans="1:5" x14ac:dyDescent="0.25">
      <c r="A330" s="6" t="s">
        <v>8</v>
      </c>
      <c r="B330" s="6" t="s">
        <v>1</v>
      </c>
      <c r="C330" s="6">
        <v>1</v>
      </c>
      <c r="D330">
        <v>64</v>
      </c>
      <c r="E330">
        <v>1.2148699999999999</v>
      </c>
    </row>
    <row r="331" spans="1:5" x14ac:dyDescent="0.25">
      <c r="A331" s="6" t="s">
        <v>8</v>
      </c>
      <c r="B331" s="6" t="s">
        <v>1</v>
      </c>
      <c r="C331" s="6">
        <v>1</v>
      </c>
      <c r="D331">
        <v>68</v>
      </c>
      <c r="E331">
        <v>1.2101299999999999</v>
      </c>
    </row>
    <row r="332" spans="1:5" x14ac:dyDescent="0.25">
      <c r="A332" s="6" t="s">
        <v>8</v>
      </c>
      <c r="B332" s="6" t="s">
        <v>1</v>
      </c>
      <c r="C332" s="6">
        <v>2</v>
      </c>
      <c r="D332">
        <v>0</v>
      </c>
      <c r="E332">
        <v>0.24399999999999999</v>
      </c>
    </row>
    <row r="333" spans="1:5" x14ac:dyDescent="0.25">
      <c r="A333" s="6" t="s">
        <v>8</v>
      </c>
      <c r="B333" s="6" t="s">
        <v>1</v>
      </c>
      <c r="C333" s="6">
        <v>2</v>
      </c>
      <c r="D333">
        <v>4</v>
      </c>
      <c r="E333">
        <v>0.25734000000000001</v>
      </c>
    </row>
    <row r="334" spans="1:5" x14ac:dyDescent="0.25">
      <c r="A334" s="6" t="s">
        <v>8</v>
      </c>
      <c r="B334" s="6" t="s">
        <v>1</v>
      </c>
      <c r="C334" s="6">
        <v>2</v>
      </c>
      <c r="D334">
        <v>8</v>
      </c>
      <c r="E334">
        <v>0.26929999999999998</v>
      </c>
    </row>
    <row r="335" spans="1:5" x14ac:dyDescent="0.25">
      <c r="A335" s="6" t="s">
        <v>8</v>
      </c>
      <c r="B335" s="6" t="s">
        <v>1</v>
      </c>
      <c r="C335" s="6">
        <v>2</v>
      </c>
      <c r="D335">
        <v>12</v>
      </c>
      <c r="E335">
        <v>0.33683000000000002</v>
      </c>
    </row>
    <row r="336" spans="1:5" x14ac:dyDescent="0.25">
      <c r="A336" s="6" t="s">
        <v>8</v>
      </c>
      <c r="B336" s="6" t="s">
        <v>1</v>
      </c>
      <c r="C336" s="6">
        <v>2</v>
      </c>
      <c r="D336">
        <v>16</v>
      </c>
      <c r="E336">
        <v>0.4602</v>
      </c>
    </row>
    <row r="337" spans="1:5" x14ac:dyDescent="0.25">
      <c r="A337" s="6" t="s">
        <v>8</v>
      </c>
      <c r="B337" s="6" t="s">
        <v>1</v>
      </c>
      <c r="C337" s="6">
        <v>2</v>
      </c>
      <c r="D337">
        <v>20</v>
      </c>
      <c r="E337">
        <v>0.58486000000000005</v>
      </c>
    </row>
    <row r="338" spans="1:5" x14ac:dyDescent="0.25">
      <c r="A338" s="6" t="s">
        <v>8</v>
      </c>
      <c r="B338" s="6" t="s">
        <v>1</v>
      </c>
      <c r="C338" s="6">
        <v>2</v>
      </c>
      <c r="D338">
        <v>24</v>
      </c>
      <c r="E338">
        <v>0.67637000000000003</v>
      </c>
    </row>
    <row r="339" spans="1:5" x14ac:dyDescent="0.25">
      <c r="A339" s="6" t="s">
        <v>8</v>
      </c>
      <c r="B339" s="6" t="s">
        <v>1</v>
      </c>
      <c r="C339" s="6">
        <v>2</v>
      </c>
      <c r="D339">
        <v>28</v>
      </c>
      <c r="E339">
        <v>0.73131999999999997</v>
      </c>
    </row>
    <row r="340" spans="1:5" x14ac:dyDescent="0.25">
      <c r="A340" s="6" t="s">
        <v>8</v>
      </c>
      <c r="B340" s="6" t="s">
        <v>1</v>
      </c>
      <c r="C340" s="6">
        <v>2</v>
      </c>
      <c r="D340">
        <v>32</v>
      </c>
      <c r="E340">
        <v>0.80801000000000001</v>
      </c>
    </row>
    <row r="341" spans="1:5" x14ac:dyDescent="0.25">
      <c r="A341" s="6" t="s">
        <v>8</v>
      </c>
      <c r="B341" s="6" t="s">
        <v>1</v>
      </c>
      <c r="C341" s="6">
        <v>2</v>
      </c>
      <c r="D341">
        <v>36</v>
      </c>
      <c r="E341">
        <v>0.9153</v>
      </c>
    </row>
    <row r="342" spans="1:5" x14ac:dyDescent="0.25">
      <c r="A342" s="6" t="s">
        <v>8</v>
      </c>
      <c r="B342" s="6" t="s">
        <v>1</v>
      </c>
      <c r="C342" s="6">
        <v>2</v>
      </c>
      <c r="D342">
        <v>40</v>
      </c>
      <c r="E342">
        <v>0.95526</v>
      </c>
    </row>
    <row r="343" spans="1:5" x14ac:dyDescent="0.25">
      <c r="A343" s="6" t="s">
        <v>8</v>
      </c>
      <c r="B343" s="6" t="s">
        <v>1</v>
      </c>
      <c r="C343" s="6">
        <v>2</v>
      </c>
      <c r="D343">
        <v>44</v>
      </c>
      <c r="E343">
        <v>1.03549</v>
      </c>
    </row>
    <row r="344" spans="1:5" x14ac:dyDescent="0.25">
      <c r="A344" s="6" t="s">
        <v>8</v>
      </c>
      <c r="B344" s="6" t="s">
        <v>1</v>
      </c>
      <c r="C344" s="6">
        <v>2</v>
      </c>
      <c r="D344">
        <v>48</v>
      </c>
      <c r="E344">
        <v>1.0261499999999999</v>
      </c>
    </row>
    <row r="345" spans="1:5" x14ac:dyDescent="0.25">
      <c r="A345" s="6" t="s">
        <v>8</v>
      </c>
      <c r="B345" s="6" t="s">
        <v>1</v>
      </c>
      <c r="C345" s="6">
        <v>2</v>
      </c>
      <c r="D345">
        <v>52</v>
      </c>
      <c r="E345">
        <v>1.03549</v>
      </c>
    </row>
    <row r="346" spans="1:5" x14ac:dyDescent="0.25">
      <c r="A346" s="6" t="s">
        <v>8</v>
      </c>
      <c r="B346" s="6" t="s">
        <v>1</v>
      </c>
      <c r="C346" s="6">
        <v>2</v>
      </c>
      <c r="D346">
        <v>56</v>
      </c>
      <c r="E346">
        <v>1.0386500000000001</v>
      </c>
    </row>
    <row r="347" spans="1:5" x14ac:dyDescent="0.25">
      <c r="A347" s="6" t="s">
        <v>8</v>
      </c>
      <c r="B347" s="6" t="s">
        <v>1</v>
      </c>
      <c r="C347" s="6">
        <v>2</v>
      </c>
      <c r="D347">
        <v>60</v>
      </c>
      <c r="E347">
        <v>1.04183</v>
      </c>
    </row>
    <row r="348" spans="1:5" x14ac:dyDescent="0.25">
      <c r="A348" s="6" t="s">
        <v>8</v>
      </c>
      <c r="B348" s="6" t="s">
        <v>1</v>
      </c>
      <c r="C348" s="6">
        <v>2</v>
      </c>
      <c r="D348">
        <v>64</v>
      </c>
      <c r="E348">
        <v>1.04664</v>
      </c>
    </row>
    <row r="349" spans="1:5" x14ac:dyDescent="0.25">
      <c r="A349" s="6" t="s">
        <v>8</v>
      </c>
      <c r="B349" s="6" t="s">
        <v>1</v>
      </c>
      <c r="C349" s="6">
        <v>2</v>
      </c>
      <c r="D349">
        <v>68</v>
      </c>
      <c r="E349">
        <v>1.04664</v>
      </c>
    </row>
    <row r="350" spans="1:5" x14ac:dyDescent="0.25">
      <c r="A350" s="6" t="s">
        <v>8</v>
      </c>
      <c r="B350" s="6" t="s">
        <v>1</v>
      </c>
      <c r="C350" s="6">
        <v>3</v>
      </c>
      <c r="D350">
        <v>0</v>
      </c>
      <c r="E350">
        <v>0.28000000000000003</v>
      </c>
    </row>
    <row r="351" spans="1:5" x14ac:dyDescent="0.25">
      <c r="A351" s="6" t="s">
        <v>8</v>
      </c>
      <c r="B351" s="6" t="s">
        <v>1</v>
      </c>
      <c r="C351" s="6">
        <v>3</v>
      </c>
      <c r="D351">
        <v>4</v>
      </c>
      <c r="E351">
        <v>0.29396</v>
      </c>
    </row>
    <row r="352" spans="1:5" x14ac:dyDescent="0.25">
      <c r="A352" s="6" t="s">
        <v>8</v>
      </c>
      <c r="B352" s="6" t="s">
        <v>1</v>
      </c>
      <c r="C352" s="6">
        <v>3</v>
      </c>
      <c r="D352">
        <v>8</v>
      </c>
      <c r="E352">
        <v>0.32571</v>
      </c>
    </row>
    <row r="353" spans="1:5" x14ac:dyDescent="0.25">
      <c r="A353" s="6" t="s">
        <v>8</v>
      </c>
      <c r="B353" s="6" t="s">
        <v>1</v>
      </c>
      <c r="C353" s="6">
        <v>3</v>
      </c>
      <c r="D353">
        <v>12</v>
      </c>
      <c r="E353">
        <v>0.39101999999999998</v>
      </c>
    </row>
    <row r="354" spans="1:5" x14ac:dyDescent="0.25">
      <c r="A354" s="6" t="s">
        <v>8</v>
      </c>
      <c r="B354" s="6" t="s">
        <v>1</v>
      </c>
      <c r="C354" s="6">
        <v>3</v>
      </c>
      <c r="D354">
        <v>16</v>
      </c>
      <c r="E354">
        <v>0.52585000000000004</v>
      </c>
    </row>
    <row r="355" spans="1:5" x14ac:dyDescent="0.25">
      <c r="A355" s="6" t="s">
        <v>8</v>
      </c>
      <c r="B355" s="6" t="s">
        <v>1</v>
      </c>
      <c r="C355" s="6">
        <v>3</v>
      </c>
      <c r="D355">
        <v>20</v>
      </c>
      <c r="E355">
        <v>0.66366000000000003</v>
      </c>
    </row>
    <row r="356" spans="1:5" x14ac:dyDescent="0.25">
      <c r="A356" s="6" t="s">
        <v>8</v>
      </c>
      <c r="B356" s="6" t="s">
        <v>1</v>
      </c>
      <c r="C356" s="6">
        <v>3</v>
      </c>
      <c r="D356">
        <v>24</v>
      </c>
      <c r="E356">
        <v>0.72782000000000002</v>
      </c>
    </row>
    <row r="357" spans="1:5" x14ac:dyDescent="0.25">
      <c r="A357" s="6" t="s">
        <v>8</v>
      </c>
      <c r="B357" s="6" t="s">
        <v>1</v>
      </c>
      <c r="C357" s="6">
        <v>3</v>
      </c>
      <c r="D357">
        <v>28</v>
      </c>
      <c r="E357">
        <v>0.80964999999999998</v>
      </c>
    </row>
    <row r="358" spans="1:5" x14ac:dyDescent="0.25">
      <c r="A358" s="6" t="s">
        <v>8</v>
      </c>
      <c r="B358" s="6" t="s">
        <v>1</v>
      </c>
      <c r="C358" s="6">
        <v>3</v>
      </c>
      <c r="D358">
        <v>32</v>
      </c>
      <c r="E358">
        <v>0.85509999999999997</v>
      </c>
    </row>
    <row r="359" spans="1:5" x14ac:dyDescent="0.25">
      <c r="A359" s="6" t="s">
        <v>8</v>
      </c>
      <c r="B359" s="6" t="s">
        <v>1</v>
      </c>
      <c r="C359" s="6">
        <v>3</v>
      </c>
      <c r="D359">
        <v>36</v>
      </c>
      <c r="E359">
        <v>0.89659999999999995</v>
      </c>
    </row>
    <row r="360" spans="1:5" x14ac:dyDescent="0.25">
      <c r="A360" s="6" t="s">
        <v>8</v>
      </c>
      <c r="B360" s="6" t="s">
        <v>1</v>
      </c>
      <c r="C360" s="6">
        <v>3</v>
      </c>
      <c r="D360">
        <v>40</v>
      </c>
      <c r="E360">
        <v>1.0280800000000001</v>
      </c>
    </row>
    <row r="361" spans="1:5" x14ac:dyDescent="0.25">
      <c r="A361" s="6" t="s">
        <v>8</v>
      </c>
      <c r="B361" s="6" t="s">
        <v>1</v>
      </c>
      <c r="C361" s="6">
        <v>3</v>
      </c>
      <c r="D361">
        <v>44</v>
      </c>
      <c r="E361">
        <v>1.10049</v>
      </c>
    </row>
    <row r="362" spans="1:5" x14ac:dyDescent="0.25">
      <c r="A362" s="6" t="s">
        <v>8</v>
      </c>
      <c r="B362" s="6" t="s">
        <v>1</v>
      </c>
      <c r="C362" s="6">
        <v>3</v>
      </c>
      <c r="D362">
        <v>48</v>
      </c>
      <c r="E362">
        <v>1.0843</v>
      </c>
    </row>
    <row r="363" spans="1:5" x14ac:dyDescent="0.25">
      <c r="A363" s="6" t="s">
        <v>8</v>
      </c>
      <c r="B363" s="6" t="s">
        <v>1</v>
      </c>
      <c r="C363" s="6">
        <v>3</v>
      </c>
      <c r="D363">
        <v>52</v>
      </c>
      <c r="E363">
        <v>1.0950200000000001</v>
      </c>
    </row>
    <row r="364" spans="1:5" x14ac:dyDescent="0.25">
      <c r="A364" s="6" t="s">
        <v>8</v>
      </c>
      <c r="B364" s="6" t="s">
        <v>1</v>
      </c>
      <c r="C364" s="6">
        <v>3</v>
      </c>
      <c r="D364">
        <v>56</v>
      </c>
      <c r="E364">
        <v>1.0896300000000001</v>
      </c>
    </row>
    <row r="365" spans="1:5" x14ac:dyDescent="0.25">
      <c r="A365" s="6" t="s">
        <v>8</v>
      </c>
      <c r="B365" s="6" t="s">
        <v>1</v>
      </c>
      <c r="C365" s="6">
        <v>3</v>
      </c>
      <c r="D365">
        <v>60</v>
      </c>
      <c r="E365">
        <v>1.0932200000000001</v>
      </c>
    </row>
    <row r="366" spans="1:5" x14ac:dyDescent="0.25">
      <c r="A366" s="6" t="s">
        <v>8</v>
      </c>
      <c r="B366" s="6" t="s">
        <v>1</v>
      </c>
      <c r="C366" s="6">
        <v>3</v>
      </c>
      <c r="D366">
        <v>64</v>
      </c>
      <c r="E366">
        <v>1.0914200000000001</v>
      </c>
    </row>
    <row r="367" spans="1:5" x14ac:dyDescent="0.25">
      <c r="A367" s="6" t="s">
        <v>8</v>
      </c>
      <c r="B367" s="6" t="s">
        <v>1</v>
      </c>
      <c r="C367" s="6">
        <v>3</v>
      </c>
      <c r="D367">
        <v>68</v>
      </c>
      <c r="E367">
        <v>1.09684</v>
      </c>
    </row>
    <row r="368" spans="1:5" x14ac:dyDescent="0.25">
      <c r="A368" s="6" t="s">
        <v>11</v>
      </c>
      <c r="B368" s="6" t="s">
        <v>1</v>
      </c>
      <c r="C368" s="6">
        <v>1</v>
      </c>
      <c r="D368">
        <v>0</v>
      </c>
      <c r="E368">
        <v>0.2</v>
      </c>
    </row>
    <row r="369" spans="1:5" x14ac:dyDescent="0.25">
      <c r="A369" s="6" t="s">
        <v>11</v>
      </c>
      <c r="B369" s="6" t="s">
        <v>1</v>
      </c>
      <c r="C369" s="6">
        <v>1</v>
      </c>
      <c r="D369">
        <v>4</v>
      </c>
      <c r="E369">
        <v>0.40305999999999997</v>
      </c>
    </row>
    <row r="370" spans="1:5" x14ac:dyDescent="0.25">
      <c r="A370" s="6" t="s">
        <v>11</v>
      </c>
      <c r="B370" s="6" t="s">
        <v>1</v>
      </c>
      <c r="C370" s="6">
        <v>1</v>
      </c>
      <c r="D370">
        <v>8</v>
      </c>
      <c r="E370">
        <v>0.47191</v>
      </c>
    </row>
    <row r="371" spans="1:5" x14ac:dyDescent="0.25">
      <c r="A371" s="6" t="s">
        <v>11</v>
      </c>
      <c r="B371" s="6" t="s">
        <v>1</v>
      </c>
      <c r="C371" s="6">
        <v>1</v>
      </c>
      <c r="D371">
        <v>12</v>
      </c>
      <c r="E371">
        <v>0.57403000000000004</v>
      </c>
    </row>
    <row r="372" spans="1:5" x14ac:dyDescent="0.25">
      <c r="A372" s="6" t="s">
        <v>11</v>
      </c>
      <c r="B372" s="6" t="s">
        <v>1</v>
      </c>
      <c r="C372" s="6">
        <v>1</v>
      </c>
      <c r="D372">
        <v>16</v>
      </c>
      <c r="E372">
        <v>0.67698000000000003</v>
      </c>
    </row>
    <row r="373" spans="1:5" x14ac:dyDescent="0.25">
      <c r="A373" s="6" t="s">
        <v>11</v>
      </c>
      <c r="B373" s="6" t="s">
        <v>1</v>
      </c>
      <c r="C373" s="6">
        <v>1</v>
      </c>
      <c r="D373">
        <v>20</v>
      </c>
      <c r="E373">
        <v>0.67354000000000003</v>
      </c>
    </row>
    <row r="374" spans="1:5" x14ac:dyDescent="0.25">
      <c r="A374" s="6" t="s">
        <v>11</v>
      </c>
      <c r="B374" s="6" t="s">
        <v>1</v>
      </c>
      <c r="C374" s="6">
        <v>1</v>
      </c>
      <c r="D374">
        <v>24</v>
      </c>
      <c r="E374">
        <v>0.69176000000000004</v>
      </c>
    </row>
    <row r="375" spans="1:5" x14ac:dyDescent="0.25">
      <c r="A375" s="6" t="s">
        <v>11</v>
      </c>
      <c r="B375" s="6" t="s">
        <v>1</v>
      </c>
      <c r="C375" s="6">
        <v>1</v>
      </c>
      <c r="D375">
        <v>28</v>
      </c>
      <c r="E375">
        <v>0.68466000000000005</v>
      </c>
    </row>
    <row r="376" spans="1:5" x14ac:dyDescent="0.25">
      <c r="A376" s="6" t="s">
        <v>11</v>
      </c>
      <c r="B376" s="6" t="s">
        <v>1</v>
      </c>
      <c r="C376" s="6">
        <v>1</v>
      </c>
      <c r="D376" s="4">
        <v>32</v>
      </c>
      <c r="E376" s="4">
        <v>0.69752000000000003</v>
      </c>
    </row>
    <row r="377" spans="1:5" x14ac:dyDescent="0.25">
      <c r="A377" s="6" t="s">
        <v>11</v>
      </c>
      <c r="B377" s="6" t="s">
        <v>1</v>
      </c>
      <c r="C377" s="6">
        <v>2</v>
      </c>
      <c r="D377">
        <v>0</v>
      </c>
      <c r="E377">
        <v>0.2</v>
      </c>
    </row>
    <row r="378" spans="1:5" x14ac:dyDescent="0.25">
      <c r="A378" s="6" t="s">
        <v>11</v>
      </c>
      <c r="B378" s="6" t="s">
        <v>1</v>
      </c>
      <c r="C378" s="6">
        <v>2</v>
      </c>
      <c r="D378">
        <v>4</v>
      </c>
      <c r="E378">
        <v>0.31234000000000001</v>
      </c>
    </row>
    <row r="379" spans="1:5" x14ac:dyDescent="0.25">
      <c r="A379" s="6" t="s">
        <v>11</v>
      </c>
      <c r="B379" s="6" t="s">
        <v>1</v>
      </c>
      <c r="C379" s="6">
        <v>2</v>
      </c>
      <c r="D379">
        <v>8</v>
      </c>
      <c r="E379">
        <v>0.38862000000000002</v>
      </c>
    </row>
    <row r="380" spans="1:5" x14ac:dyDescent="0.25">
      <c r="A380" s="6" t="s">
        <v>11</v>
      </c>
      <c r="B380" s="6" t="s">
        <v>1</v>
      </c>
      <c r="C380" s="6">
        <v>2</v>
      </c>
      <c r="D380">
        <v>12</v>
      </c>
      <c r="E380">
        <v>0.47250999999999999</v>
      </c>
    </row>
    <row r="381" spans="1:5" x14ac:dyDescent="0.25">
      <c r="A381" s="6" t="s">
        <v>11</v>
      </c>
      <c r="B381" s="6" t="s">
        <v>1</v>
      </c>
      <c r="C381" s="6">
        <v>2</v>
      </c>
      <c r="D381">
        <v>16</v>
      </c>
      <c r="E381">
        <v>0.59960000000000002</v>
      </c>
    </row>
    <row r="382" spans="1:5" x14ac:dyDescent="0.25">
      <c r="A382" s="6" t="s">
        <v>11</v>
      </c>
      <c r="B382" s="6" t="s">
        <v>1</v>
      </c>
      <c r="C382" s="6">
        <v>2</v>
      </c>
      <c r="D382">
        <v>20</v>
      </c>
      <c r="E382">
        <v>0.59787999999999997</v>
      </c>
    </row>
    <row r="383" spans="1:5" x14ac:dyDescent="0.25">
      <c r="A383" s="6" t="s">
        <v>11</v>
      </c>
      <c r="B383" s="6" t="s">
        <v>1</v>
      </c>
      <c r="C383" s="6">
        <v>2</v>
      </c>
      <c r="D383">
        <v>24</v>
      </c>
      <c r="E383">
        <v>0.60075999999999996</v>
      </c>
    </row>
    <row r="384" spans="1:5" x14ac:dyDescent="0.25">
      <c r="A384" s="6" t="s">
        <v>11</v>
      </c>
      <c r="B384" s="6" t="s">
        <v>1</v>
      </c>
      <c r="C384" s="6">
        <v>2</v>
      </c>
      <c r="D384">
        <v>28</v>
      </c>
      <c r="E384">
        <v>0.61129</v>
      </c>
    </row>
    <row r="385" spans="1:5" x14ac:dyDescent="0.25">
      <c r="A385" s="6" t="s">
        <v>11</v>
      </c>
      <c r="B385" s="6" t="s">
        <v>1</v>
      </c>
      <c r="C385" s="6">
        <v>2</v>
      </c>
      <c r="D385" s="4">
        <v>32</v>
      </c>
      <c r="E385" s="4">
        <v>0.61665999999999999</v>
      </c>
    </row>
    <row r="386" spans="1:5" x14ac:dyDescent="0.25">
      <c r="A386" s="6" t="s">
        <v>11</v>
      </c>
      <c r="B386" s="6" t="s">
        <v>1</v>
      </c>
      <c r="C386" s="6">
        <v>3</v>
      </c>
      <c r="D386">
        <v>0</v>
      </c>
      <c r="E386">
        <v>0.2</v>
      </c>
    </row>
    <row r="387" spans="1:5" x14ac:dyDescent="0.25">
      <c r="A387" s="6" t="s">
        <v>11</v>
      </c>
      <c r="B387" s="6" t="s">
        <v>1</v>
      </c>
      <c r="C387" s="6">
        <v>3</v>
      </c>
      <c r="D387">
        <v>4</v>
      </c>
      <c r="E387">
        <v>0.34877999999999998</v>
      </c>
    </row>
    <row r="388" spans="1:5" x14ac:dyDescent="0.25">
      <c r="A388" s="6" t="s">
        <v>11</v>
      </c>
      <c r="B388" s="6" t="s">
        <v>1</v>
      </c>
      <c r="C388" s="6">
        <v>3</v>
      </c>
      <c r="D388">
        <v>8</v>
      </c>
      <c r="E388">
        <v>0.42524000000000001</v>
      </c>
    </row>
    <row r="389" spans="1:5" x14ac:dyDescent="0.25">
      <c r="A389" s="6" t="s">
        <v>11</v>
      </c>
      <c r="B389" s="6" t="s">
        <v>1</v>
      </c>
      <c r="C389" s="6">
        <v>3</v>
      </c>
      <c r="D389">
        <v>12</v>
      </c>
      <c r="E389">
        <v>0.53371999999999997</v>
      </c>
    </row>
    <row r="390" spans="1:5" x14ac:dyDescent="0.25">
      <c r="A390" s="6" t="s">
        <v>11</v>
      </c>
      <c r="B390" s="6" t="s">
        <v>1</v>
      </c>
      <c r="C390" s="6">
        <v>3</v>
      </c>
      <c r="D390">
        <v>16</v>
      </c>
      <c r="E390">
        <v>0.65046000000000004</v>
      </c>
    </row>
    <row r="391" spans="1:5" x14ac:dyDescent="0.25">
      <c r="A391" s="6" t="s">
        <v>11</v>
      </c>
      <c r="B391" s="6" t="s">
        <v>1</v>
      </c>
      <c r="C391" s="6">
        <v>3</v>
      </c>
      <c r="D391">
        <v>20</v>
      </c>
      <c r="E391">
        <v>0.66164999999999996</v>
      </c>
    </row>
    <row r="392" spans="1:5" x14ac:dyDescent="0.25">
      <c r="A392" s="6" t="s">
        <v>11</v>
      </c>
      <c r="B392" s="6" t="s">
        <v>1</v>
      </c>
      <c r="C392" s="6">
        <v>3</v>
      </c>
      <c r="D392">
        <v>24</v>
      </c>
      <c r="E392">
        <v>0.65437999999999996</v>
      </c>
    </row>
    <row r="393" spans="1:5" x14ac:dyDescent="0.25">
      <c r="A393" s="6" t="s">
        <v>11</v>
      </c>
      <c r="B393" s="6" t="s">
        <v>1</v>
      </c>
      <c r="C393" s="6">
        <v>3</v>
      </c>
      <c r="D393">
        <v>28</v>
      </c>
      <c r="E393">
        <v>0.66164999999999996</v>
      </c>
    </row>
    <row r="394" spans="1:5" x14ac:dyDescent="0.25">
      <c r="A394" s="6" t="s">
        <v>11</v>
      </c>
      <c r="B394" s="6" t="s">
        <v>1</v>
      </c>
      <c r="C394" s="6">
        <v>3</v>
      </c>
      <c r="D394" s="4">
        <v>32</v>
      </c>
      <c r="E394" s="4">
        <v>0.68005000000000004</v>
      </c>
    </row>
    <row r="395" spans="1:5" x14ac:dyDescent="0.25">
      <c r="A395" s="6" t="s">
        <v>18</v>
      </c>
      <c r="B395" s="6" t="s">
        <v>1</v>
      </c>
      <c r="C395" s="6">
        <v>1</v>
      </c>
      <c r="D395">
        <v>0</v>
      </c>
      <c r="E395">
        <v>0.2</v>
      </c>
    </row>
    <row r="396" spans="1:5" x14ac:dyDescent="0.25">
      <c r="A396" s="6" t="s">
        <v>18</v>
      </c>
      <c r="B396" s="6" t="s">
        <v>1</v>
      </c>
      <c r="C396" s="6">
        <v>1</v>
      </c>
      <c r="D396">
        <v>4</v>
      </c>
      <c r="E396" s="1">
        <v>0.31</v>
      </c>
    </row>
    <row r="397" spans="1:5" x14ac:dyDescent="0.25">
      <c r="A397" s="6" t="s">
        <v>18</v>
      </c>
      <c r="B397" s="6" t="s">
        <v>1</v>
      </c>
      <c r="C397" s="6">
        <v>1</v>
      </c>
      <c r="D397">
        <v>8</v>
      </c>
      <c r="E397" s="1">
        <v>0.31</v>
      </c>
    </row>
    <row r="398" spans="1:5" x14ac:dyDescent="0.25">
      <c r="A398" s="6" t="s">
        <v>18</v>
      </c>
      <c r="B398" s="6" t="s">
        <v>1</v>
      </c>
      <c r="C398" s="6">
        <v>1</v>
      </c>
      <c r="D398">
        <v>12</v>
      </c>
      <c r="E398" s="1">
        <v>0.38</v>
      </c>
    </row>
    <row r="399" spans="1:5" x14ac:dyDescent="0.25">
      <c r="A399" s="6" t="s">
        <v>18</v>
      </c>
      <c r="B399" s="6" t="s">
        <v>1</v>
      </c>
      <c r="C399" s="6">
        <v>1</v>
      </c>
      <c r="D399">
        <v>16</v>
      </c>
      <c r="E399" s="1">
        <v>0.54</v>
      </c>
    </row>
    <row r="400" spans="1:5" x14ac:dyDescent="0.25">
      <c r="A400" s="6" t="s">
        <v>18</v>
      </c>
      <c r="B400" s="6" t="s">
        <v>1</v>
      </c>
      <c r="C400" s="6">
        <v>1</v>
      </c>
      <c r="D400">
        <v>20</v>
      </c>
      <c r="E400" s="1">
        <v>0.66</v>
      </c>
    </row>
    <row r="401" spans="1:5" x14ac:dyDescent="0.25">
      <c r="A401" s="6" t="s">
        <v>18</v>
      </c>
      <c r="B401" s="6" t="s">
        <v>1</v>
      </c>
      <c r="C401" s="6">
        <v>1</v>
      </c>
      <c r="D401">
        <v>24</v>
      </c>
      <c r="E401" s="1">
        <v>0.66</v>
      </c>
    </row>
    <row r="402" spans="1:5" x14ac:dyDescent="0.25">
      <c r="A402" s="6" t="s">
        <v>18</v>
      </c>
      <c r="B402" s="6" t="s">
        <v>1</v>
      </c>
      <c r="C402" s="6">
        <v>1</v>
      </c>
      <c r="D402">
        <v>28</v>
      </c>
      <c r="E402" s="1">
        <v>0.71</v>
      </c>
    </row>
    <row r="403" spans="1:5" x14ac:dyDescent="0.25">
      <c r="A403" s="6" t="s">
        <v>18</v>
      </c>
      <c r="B403" s="6" t="s">
        <v>1</v>
      </c>
      <c r="C403" s="6">
        <v>2</v>
      </c>
      <c r="D403">
        <v>0</v>
      </c>
      <c r="E403">
        <v>0.2</v>
      </c>
    </row>
    <row r="404" spans="1:5" x14ac:dyDescent="0.25">
      <c r="A404" s="6" t="s">
        <v>18</v>
      </c>
      <c r="B404" s="6" t="s">
        <v>1</v>
      </c>
      <c r="C404" s="6">
        <v>2</v>
      </c>
      <c r="D404">
        <v>4</v>
      </c>
      <c r="E404" s="1">
        <v>0.3</v>
      </c>
    </row>
    <row r="405" spans="1:5" x14ac:dyDescent="0.25">
      <c r="A405" s="6" t="s">
        <v>18</v>
      </c>
      <c r="B405" s="6" t="s">
        <v>1</v>
      </c>
      <c r="C405" s="6">
        <v>2</v>
      </c>
      <c r="D405">
        <v>8</v>
      </c>
      <c r="E405" s="1">
        <v>0.32</v>
      </c>
    </row>
    <row r="406" spans="1:5" x14ac:dyDescent="0.25">
      <c r="A406" s="6" t="s">
        <v>18</v>
      </c>
      <c r="B406" s="6" t="s">
        <v>1</v>
      </c>
      <c r="C406" s="6">
        <v>2</v>
      </c>
      <c r="D406">
        <v>12</v>
      </c>
      <c r="E406" s="1">
        <v>0.41</v>
      </c>
    </row>
    <row r="407" spans="1:5" x14ac:dyDescent="0.25">
      <c r="A407" s="6" t="s">
        <v>18</v>
      </c>
      <c r="B407" s="6" t="s">
        <v>1</v>
      </c>
      <c r="C407" s="6">
        <v>2</v>
      </c>
      <c r="D407">
        <v>16</v>
      </c>
      <c r="E407" s="1">
        <v>0.61</v>
      </c>
    </row>
    <row r="408" spans="1:5" x14ac:dyDescent="0.25">
      <c r="A408" s="6" t="s">
        <v>18</v>
      </c>
      <c r="B408" s="6" t="s">
        <v>1</v>
      </c>
      <c r="C408" s="6">
        <v>2</v>
      </c>
      <c r="D408">
        <v>20</v>
      </c>
      <c r="E408" s="1">
        <v>0.7</v>
      </c>
    </row>
    <row r="409" spans="1:5" x14ac:dyDescent="0.25">
      <c r="A409" s="6" t="s">
        <v>18</v>
      </c>
      <c r="B409" s="6" t="s">
        <v>1</v>
      </c>
      <c r="C409" s="6">
        <v>2</v>
      </c>
      <c r="D409">
        <v>24</v>
      </c>
      <c r="E409" s="1">
        <v>0.74</v>
      </c>
    </row>
    <row r="410" spans="1:5" x14ac:dyDescent="0.25">
      <c r="A410" s="6" t="s">
        <v>18</v>
      </c>
      <c r="B410" s="6" t="s">
        <v>1</v>
      </c>
      <c r="C410" s="6">
        <v>2</v>
      </c>
      <c r="D410">
        <v>28</v>
      </c>
      <c r="E410" s="1">
        <v>0.69</v>
      </c>
    </row>
    <row r="411" spans="1:5" x14ac:dyDescent="0.25">
      <c r="A411" s="6" t="s">
        <v>18</v>
      </c>
      <c r="B411" s="6" t="s">
        <v>1</v>
      </c>
      <c r="C411" s="6">
        <v>3</v>
      </c>
      <c r="D411">
        <v>0</v>
      </c>
      <c r="E411">
        <v>0.2</v>
      </c>
    </row>
    <row r="412" spans="1:5" x14ac:dyDescent="0.25">
      <c r="A412" s="6" t="s">
        <v>18</v>
      </c>
      <c r="B412" s="6" t="s">
        <v>1</v>
      </c>
      <c r="C412" s="6">
        <v>3</v>
      </c>
      <c r="D412">
        <v>4</v>
      </c>
      <c r="E412" s="1">
        <v>0.28999999999999998</v>
      </c>
    </row>
    <row r="413" spans="1:5" x14ac:dyDescent="0.25">
      <c r="A413" s="6" t="s">
        <v>18</v>
      </c>
      <c r="B413" s="6" t="s">
        <v>1</v>
      </c>
      <c r="C413" s="6">
        <v>3</v>
      </c>
      <c r="D413">
        <v>8</v>
      </c>
      <c r="E413" s="1">
        <v>0.3</v>
      </c>
    </row>
    <row r="414" spans="1:5" x14ac:dyDescent="0.25">
      <c r="A414" s="6" t="s">
        <v>18</v>
      </c>
      <c r="B414" s="6" t="s">
        <v>1</v>
      </c>
      <c r="C414" s="6">
        <v>3</v>
      </c>
      <c r="D414">
        <v>12</v>
      </c>
      <c r="E414" s="1">
        <v>0.41</v>
      </c>
    </row>
    <row r="415" spans="1:5" x14ac:dyDescent="0.25">
      <c r="A415" s="6" t="s">
        <v>18</v>
      </c>
      <c r="B415" s="6" t="s">
        <v>1</v>
      </c>
      <c r="C415" s="6">
        <v>3</v>
      </c>
      <c r="D415">
        <v>16</v>
      </c>
      <c r="E415" s="1">
        <v>0.56999999999999995</v>
      </c>
    </row>
    <row r="416" spans="1:5" x14ac:dyDescent="0.25">
      <c r="A416" s="6" t="s">
        <v>18</v>
      </c>
      <c r="B416" s="6" t="s">
        <v>1</v>
      </c>
      <c r="C416" s="6">
        <v>3</v>
      </c>
      <c r="D416">
        <v>20</v>
      </c>
      <c r="E416" s="1">
        <v>0.71</v>
      </c>
    </row>
    <row r="417" spans="1:5" x14ac:dyDescent="0.25">
      <c r="A417" s="6" t="s">
        <v>18</v>
      </c>
      <c r="B417" s="6" t="s">
        <v>1</v>
      </c>
      <c r="C417" s="6">
        <v>3</v>
      </c>
      <c r="D417">
        <v>24</v>
      </c>
      <c r="E417" s="1">
        <v>0.72</v>
      </c>
    </row>
    <row r="418" spans="1:5" x14ac:dyDescent="0.25">
      <c r="A418" s="6" t="s">
        <v>18</v>
      </c>
      <c r="B418" s="6" t="s">
        <v>1</v>
      </c>
      <c r="C418" s="6">
        <v>3</v>
      </c>
      <c r="D418">
        <v>28</v>
      </c>
      <c r="E418" s="1">
        <v>0.7</v>
      </c>
    </row>
    <row r="419" spans="1:5" x14ac:dyDescent="0.25">
      <c r="A419" s="6" t="s">
        <v>16</v>
      </c>
      <c r="B419" s="6" t="s">
        <v>9</v>
      </c>
      <c r="C419" s="6">
        <v>1</v>
      </c>
      <c r="D419">
        <v>0</v>
      </c>
      <c r="E419">
        <v>0.23073813215200001</v>
      </c>
    </row>
    <row r="420" spans="1:5" x14ac:dyDescent="0.25">
      <c r="A420" s="6" t="s">
        <v>16</v>
      </c>
      <c r="B420" s="6" t="s">
        <v>9</v>
      </c>
      <c r="C420" s="6">
        <v>1</v>
      </c>
      <c r="D420">
        <v>24</v>
      </c>
      <c r="E420">
        <v>0.33564053215200002</v>
      </c>
    </row>
    <row r="421" spans="1:5" x14ac:dyDescent="0.25">
      <c r="A421" s="6" t="s">
        <v>16</v>
      </c>
      <c r="B421" s="6" t="s">
        <v>9</v>
      </c>
      <c r="C421" s="6">
        <v>1</v>
      </c>
      <c r="D421">
        <v>48</v>
      </c>
      <c r="E421">
        <v>0.311186932152</v>
      </c>
    </row>
    <row r="422" spans="1:5" x14ac:dyDescent="0.25">
      <c r="A422" s="6" t="s">
        <v>16</v>
      </c>
      <c r="B422" s="6" t="s">
        <v>9</v>
      </c>
      <c r="C422" s="6">
        <v>1</v>
      </c>
      <c r="D422">
        <v>72</v>
      </c>
      <c r="E422">
        <v>0.34201973215200004</v>
      </c>
    </row>
    <row r="423" spans="1:5" x14ac:dyDescent="0.25">
      <c r="A423" s="6" t="s">
        <v>16</v>
      </c>
      <c r="B423" s="6" t="s">
        <v>9</v>
      </c>
      <c r="C423" s="6">
        <v>1</v>
      </c>
      <c r="D423">
        <v>96</v>
      </c>
      <c r="E423">
        <v>1.3616285321520001</v>
      </c>
    </row>
    <row r="424" spans="1:5" x14ac:dyDescent="0.25">
      <c r="A424" s="6" t="s">
        <v>16</v>
      </c>
      <c r="B424" s="6" t="s">
        <v>9</v>
      </c>
      <c r="C424" s="6">
        <v>1</v>
      </c>
      <c r="D424">
        <v>120</v>
      </c>
      <c r="E424">
        <v>1.3595258643039998</v>
      </c>
    </row>
    <row r="425" spans="1:5" x14ac:dyDescent="0.25">
      <c r="A425" s="6" t="s">
        <v>16</v>
      </c>
      <c r="B425" s="6" t="s">
        <v>9</v>
      </c>
      <c r="C425" s="6">
        <v>1</v>
      </c>
      <c r="D425">
        <v>144</v>
      </c>
      <c r="E425">
        <v>1.8524725321520001</v>
      </c>
    </row>
    <row r="426" spans="1:5" x14ac:dyDescent="0.25">
      <c r="A426" s="6" t="s">
        <v>16</v>
      </c>
      <c r="B426" s="6" t="s">
        <v>9</v>
      </c>
      <c r="C426" s="6">
        <v>1</v>
      </c>
      <c r="D426">
        <v>168</v>
      </c>
      <c r="E426">
        <v>1.383246932152</v>
      </c>
    </row>
    <row r="427" spans="1:5" x14ac:dyDescent="0.25">
      <c r="A427" s="6" t="s">
        <v>16</v>
      </c>
      <c r="B427" s="6" t="s">
        <v>9</v>
      </c>
      <c r="C427" s="6">
        <v>1</v>
      </c>
      <c r="D427">
        <v>192</v>
      </c>
      <c r="E427">
        <v>1.5448533321519999</v>
      </c>
    </row>
    <row r="428" spans="1:5" x14ac:dyDescent="0.25">
      <c r="A428" s="6" t="s">
        <v>16</v>
      </c>
      <c r="B428" s="6" t="s">
        <v>9</v>
      </c>
      <c r="C428" s="6">
        <v>1</v>
      </c>
      <c r="D428">
        <v>216</v>
      </c>
      <c r="E428">
        <v>1.2879133321520002</v>
      </c>
    </row>
    <row r="429" spans="1:5" x14ac:dyDescent="0.25">
      <c r="A429" s="6" t="s">
        <v>16</v>
      </c>
      <c r="B429" s="6" t="s">
        <v>9</v>
      </c>
      <c r="C429" s="6">
        <v>1</v>
      </c>
      <c r="D429">
        <v>240</v>
      </c>
      <c r="E429">
        <v>1.414434132152</v>
      </c>
    </row>
    <row r="430" spans="1:5" x14ac:dyDescent="0.25">
      <c r="A430" s="6" t="s">
        <v>16</v>
      </c>
      <c r="B430" s="6" t="s">
        <v>9</v>
      </c>
      <c r="C430" s="6">
        <v>1</v>
      </c>
      <c r="D430">
        <v>264</v>
      </c>
      <c r="E430">
        <v>1.2801165321520001</v>
      </c>
    </row>
    <row r="431" spans="1:5" x14ac:dyDescent="0.25">
      <c r="A431" s="6" t="s">
        <v>16</v>
      </c>
      <c r="B431" s="6" t="s">
        <v>9</v>
      </c>
      <c r="C431" s="6">
        <v>1</v>
      </c>
      <c r="D431">
        <v>288</v>
      </c>
      <c r="E431">
        <v>1.242904532152</v>
      </c>
    </row>
    <row r="432" spans="1:5" x14ac:dyDescent="0.25">
      <c r="A432" s="6" t="s">
        <v>16</v>
      </c>
      <c r="B432" s="6" t="s">
        <v>9</v>
      </c>
      <c r="C432" s="6">
        <v>2</v>
      </c>
      <c r="D432">
        <v>0</v>
      </c>
      <c r="E432">
        <v>0.26227973215199996</v>
      </c>
    </row>
    <row r="433" spans="1:5" x14ac:dyDescent="0.25">
      <c r="A433" s="6" t="s">
        <v>16</v>
      </c>
      <c r="B433" s="6" t="s">
        <v>9</v>
      </c>
      <c r="C433" s="6">
        <v>2</v>
      </c>
      <c r="D433">
        <v>24</v>
      </c>
      <c r="E433">
        <v>0.26546933215200003</v>
      </c>
    </row>
    <row r="434" spans="1:5" x14ac:dyDescent="0.25">
      <c r="A434" s="6" t="s">
        <v>16</v>
      </c>
      <c r="B434" s="6" t="s">
        <v>9</v>
      </c>
      <c r="C434" s="6">
        <v>2</v>
      </c>
      <c r="D434">
        <v>48</v>
      </c>
      <c r="E434">
        <v>0.25164773215199998</v>
      </c>
    </row>
    <row r="435" spans="1:5" x14ac:dyDescent="0.25">
      <c r="A435" s="6" t="s">
        <v>16</v>
      </c>
      <c r="B435" s="6" t="s">
        <v>9</v>
      </c>
      <c r="C435" s="6">
        <v>2</v>
      </c>
      <c r="D435">
        <v>72</v>
      </c>
      <c r="E435">
        <v>0.36186613215199998</v>
      </c>
    </row>
    <row r="436" spans="1:5" x14ac:dyDescent="0.25">
      <c r="A436" s="6" t="s">
        <v>16</v>
      </c>
      <c r="B436" s="6" t="s">
        <v>9</v>
      </c>
      <c r="C436" s="6">
        <v>2</v>
      </c>
      <c r="D436">
        <v>96</v>
      </c>
      <c r="E436">
        <v>1.3105949321520001</v>
      </c>
    </row>
    <row r="437" spans="1:5" x14ac:dyDescent="0.25">
      <c r="A437" s="6" t="s">
        <v>16</v>
      </c>
      <c r="B437" s="6" t="s">
        <v>9</v>
      </c>
      <c r="C437" s="6">
        <v>2</v>
      </c>
      <c r="D437">
        <v>120</v>
      </c>
      <c r="E437">
        <v>1.407724264304</v>
      </c>
    </row>
    <row r="438" spans="1:5" x14ac:dyDescent="0.25">
      <c r="A438" s="6" t="s">
        <v>16</v>
      </c>
      <c r="B438" s="6" t="s">
        <v>9</v>
      </c>
      <c r="C438" s="6">
        <v>2</v>
      </c>
      <c r="D438">
        <v>144</v>
      </c>
      <c r="E438">
        <v>1.7649357321520003</v>
      </c>
    </row>
    <row r="439" spans="1:5" x14ac:dyDescent="0.25">
      <c r="A439" s="6" t="s">
        <v>16</v>
      </c>
      <c r="B439" s="6" t="s">
        <v>9</v>
      </c>
      <c r="C439" s="6">
        <v>2</v>
      </c>
      <c r="D439">
        <v>168</v>
      </c>
      <c r="E439">
        <v>1.3988405321520001</v>
      </c>
    </row>
    <row r="440" spans="1:5" x14ac:dyDescent="0.25">
      <c r="A440" s="6" t="s">
        <v>16</v>
      </c>
      <c r="B440" s="6" t="s">
        <v>9</v>
      </c>
      <c r="C440" s="6">
        <v>2</v>
      </c>
      <c r="D440">
        <v>192</v>
      </c>
      <c r="E440">
        <v>1.5955325321520002</v>
      </c>
    </row>
    <row r="441" spans="1:5" x14ac:dyDescent="0.25">
      <c r="A441" s="6" t="s">
        <v>16</v>
      </c>
      <c r="B441" s="6" t="s">
        <v>9</v>
      </c>
      <c r="C441" s="6">
        <v>2</v>
      </c>
      <c r="D441">
        <v>216</v>
      </c>
      <c r="E441">
        <v>1.2662949321520001</v>
      </c>
    </row>
    <row r="442" spans="1:5" x14ac:dyDescent="0.25">
      <c r="A442" s="6" t="s">
        <v>16</v>
      </c>
      <c r="B442" s="6" t="s">
        <v>9</v>
      </c>
      <c r="C442" s="6">
        <v>2</v>
      </c>
      <c r="D442">
        <v>240</v>
      </c>
      <c r="E442">
        <v>1.4842509321520001</v>
      </c>
    </row>
    <row r="443" spans="1:5" x14ac:dyDescent="0.25">
      <c r="A443" s="6" t="s">
        <v>16</v>
      </c>
      <c r="B443" s="6" t="s">
        <v>9</v>
      </c>
      <c r="C443" s="6">
        <v>2</v>
      </c>
      <c r="D443">
        <v>264</v>
      </c>
      <c r="E443">
        <v>1.365881332152</v>
      </c>
    </row>
    <row r="444" spans="1:5" x14ac:dyDescent="0.25">
      <c r="A444" s="6" t="s">
        <v>16</v>
      </c>
      <c r="B444" s="6" t="s">
        <v>9</v>
      </c>
      <c r="C444" s="6">
        <v>2</v>
      </c>
      <c r="D444">
        <v>288</v>
      </c>
      <c r="E444">
        <v>1.1656453321520002</v>
      </c>
    </row>
    <row r="445" spans="1:5" x14ac:dyDescent="0.25">
      <c r="A445" s="6" t="s">
        <v>16</v>
      </c>
      <c r="B445" s="6" t="s">
        <v>9</v>
      </c>
      <c r="C445" s="6">
        <v>3</v>
      </c>
      <c r="D445">
        <v>0</v>
      </c>
      <c r="E445">
        <v>0.29275813215200003</v>
      </c>
    </row>
    <row r="446" spans="1:5" x14ac:dyDescent="0.25">
      <c r="A446" s="6" t="s">
        <v>16</v>
      </c>
      <c r="B446" s="6" t="s">
        <v>9</v>
      </c>
      <c r="C446" s="6">
        <v>3</v>
      </c>
      <c r="D446">
        <v>24</v>
      </c>
      <c r="E446">
        <v>0.230029332152</v>
      </c>
    </row>
    <row r="447" spans="1:5" x14ac:dyDescent="0.25">
      <c r="A447" s="6" t="s">
        <v>16</v>
      </c>
      <c r="B447" s="6" t="s">
        <v>9</v>
      </c>
      <c r="C447" s="6">
        <v>3</v>
      </c>
      <c r="D447">
        <v>48</v>
      </c>
      <c r="E447">
        <v>0.43699893215200003</v>
      </c>
    </row>
    <row r="448" spans="1:5" x14ac:dyDescent="0.25">
      <c r="A448" s="6" t="s">
        <v>16</v>
      </c>
      <c r="B448" s="6" t="s">
        <v>9</v>
      </c>
      <c r="C448" s="6">
        <v>3</v>
      </c>
      <c r="D448">
        <v>72</v>
      </c>
      <c r="E448">
        <v>0.49405733215199998</v>
      </c>
    </row>
    <row r="449" spans="1:5" x14ac:dyDescent="0.25">
      <c r="A449" s="6" t="s">
        <v>16</v>
      </c>
      <c r="B449" s="6" t="s">
        <v>9</v>
      </c>
      <c r="C449" s="6">
        <v>3</v>
      </c>
      <c r="D449">
        <v>96</v>
      </c>
      <c r="E449">
        <v>1.4838965321520001</v>
      </c>
    </row>
    <row r="450" spans="1:5" x14ac:dyDescent="0.25">
      <c r="A450" s="6" t="s">
        <v>16</v>
      </c>
      <c r="B450" s="6" t="s">
        <v>9</v>
      </c>
      <c r="C450" s="6">
        <v>3</v>
      </c>
      <c r="D450">
        <v>120</v>
      </c>
      <c r="E450">
        <v>1.3850426643039999</v>
      </c>
    </row>
    <row r="451" spans="1:5" x14ac:dyDescent="0.25">
      <c r="A451" s="6" t="s">
        <v>16</v>
      </c>
      <c r="B451" s="6" t="s">
        <v>9</v>
      </c>
      <c r="C451" s="6">
        <v>3</v>
      </c>
      <c r="D451">
        <v>144</v>
      </c>
      <c r="E451">
        <v>1.8705469321520001</v>
      </c>
    </row>
    <row r="452" spans="1:5" x14ac:dyDescent="0.25">
      <c r="A452" s="6" t="s">
        <v>16</v>
      </c>
      <c r="B452" s="6" t="s">
        <v>9</v>
      </c>
      <c r="C452" s="6">
        <v>3</v>
      </c>
      <c r="D452">
        <v>168</v>
      </c>
      <c r="E452">
        <v>1.3772221321520002</v>
      </c>
    </row>
    <row r="453" spans="1:5" x14ac:dyDescent="0.25">
      <c r="A453" s="6" t="s">
        <v>16</v>
      </c>
      <c r="B453" s="6" t="s">
        <v>9</v>
      </c>
      <c r="C453" s="6">
        <v>3</v>
      </c>
      <c r="D453">
        <v>192</v>
      </c>
      <c r="E453">
        <v>1.6224669321520002</v>
      </c>
    </row>
    <row r="454" spans="1:5" x14ac:dyDescent="0.25">
      <c r="A454" s="6" t="s">
        <v>16</v>
      </c>
      <c r="B454" s="6" t="s">
        <v>9</v>
      </c>
      <c r="C454" s="6">
        <v>3</v>
      </c>
      <c r="D454">
        <v>216</v>
      </c>
      <c r="E454">
        <v>1.4725557321520002</v>
      </c>
    </row>
    <row r="455" spans="1:5" x14ac:dyDescent="0.25">
      <c r="A455" s="6" t="s">
        <v>16</v>
      </c>
      <c r="B455" s="6" t="s">
        <v>9</v>
      </c>
      <c r="C455" s="6">
        <v>3</v>
      </c>
      <c r="D455">
        <v>240</v>
      </c>
      <c r="E455">
        <v>1.4286101321519999</v>
      </c>
    </row>
    <row r="456" spans="1:5" x14ac:dyDescent="0.25">
      <c r="A456" s="6" t="s">
        <v>16</v>
      </c>
      <c r="B456" s="6" t="s">
        <v>9</v>
      </c>
      <c r="C456" s="6">
        <v>3</v>
      </c>
      <c r="D456">
        <v>264</v>
      </c>
      <c r="E456">
        <v>1.4158517321520001</v>
      </c>
    </row>
    <row r="457" spans="1:5" x14ac:dyDescent="0.25">
      <c r="A457" s="6" t="s">
        <v>16</v>
      </c>
      <c r="B457" s="6" t="s">
        <v>9</v>
      </c>
      <c r="C457" s="6">
        <v>3</v>
      </c>
      <c r="D457">
        <v>288</v>
      </c>
      <c r="E457">
        <v>1.253182132152</v>
      </c>
    </row>
    <row r="458" spans="1:5" x14ac:dyDescent="0.25">
      <c r="A458" s="6" t="s">
        <v>4</v>
      </c>
      <c r="B458" s="6" t="s">
        <v>9</v>
      </c>
      <c r="C458" s="6">
        <v>1</v>
      </c>
      <c r="D458">
        <v>0</v>
      </c>
      <c r="E458">
        <v>0.23109253215200001</v>
      </c>
    </row>
    <row r="459" spans="1:5" x14ac:dyDescent="0.25">
      <c r="A459" s="6" t="s">
        <v>4</v>
      </c>
      <c r="B459" s="6" t="s">
        <v>9</v>
      </c>
      <c r="C459" s="6">
        <v>1</v>
      </c>
      <c r="D459">
        <v>24</v>
      </c>
      <c r="E459">
        <v>0.13256933215200001</v>
      </c>
    </row>
    <row r="460" spans="1:5" x14ac:dyDescent="0.25">
      <c r="A460" s="6" t="s">
        <v>4</v>
      </c>
      <c r="B460" s="6" t="s">
        <v>9</v>
      </c>
      <c r="C460" s="6">
        <v>1</v>
      </c>
      <c r="D460">
        <v>48</v>
      </c>
      <c r="E460">
        <v>0.17899573215200001</v>
      </c>
    </row>
    <row r="461" spans="1:5" x14ac:dyDescent="0.25">
      <c r="A461" s="6" t="s">
        <v>4</v>
      </c>
      <c r="B461" s="6" t="s">
        <v>9</v>
      </c>
      <c r="C461" s="6">
        <v>1</v>
      </c>
      <c r="D461">
        <v>72</v>
      </c>
      <c r="E461">
        <v>0.163402132152</v>
      </c>
    </row>
    <row r="462" spans="1:5" x14ac:dyDescent="0.25">
      <c r="A462" s="6" t="s">
        <v>4</v>
      </c>
      <c r="B462" s="6" t="s">
        <v>9</v>
      </c>
      <c r="C462" s="6">
        <v>1</v>
      </c>
      <c r="D462">
        <v>96</v>
      </c>
      <c r="E462">
        <v>0.40049573215200002</v>
      </c>
    </row>
    <row r="463" spans="1:5" x14ac:dyDescent="0.25">
      <c r="A463" s="6" t="s">
        <v>4</v>
      </c>
      <c r="B463" s="6" t="s">
        <v>9</v>
      </c>
      <c r="C463" s="6">
        <v>1</v>
      </c>
      <c r="D463">
        <v>120</v>
      </c>
      <c r="E463">
        <v>0.46076746430400001</v>
      </c>
    </row>
    <row r="464" spans="1:5" x14ac:dyDescent="0.25">
      <c r="A464" s="6" t="s">
        <v>4</v>
      </c>
      <c r="B464" s="6" t="s">
        <v>9</v>
      </c>
      <c r="C464" s="6">
        <v>1</v>
      </c>
      <c r="D464">
        <v>144</v>
      </c>
      <c r="E464">
        <v>1.4668853321520001</v>
      </c>
    </row>
    <row r="465" spans="1:5" x14ac:dyDescent="0.25">
      <c r="A465" s="6" t="s">
        <v>4</v>
      </c>
      <c r="B465" s="6" t="s">
        <v>9</v>
      </c>
      <c r="C465" s="6">
        <v>1</v>
      </c>
      <c r="D465">
        <v>168</v>
      </c>
      <c r="E465">
        <v>1.0922845321520001</v>
      </c>
    </row>
    <row r="466" spans="1:5" x14ac:dyDescent="0.25">
      <c r="A466" s="6" t="s">
        <v>4</v>
      </c>
      <c r="B466" s="6" t="s">
        <v>9</v>
      </c>
      <c r="C466" s="6">
        <v>1</v>
      </c>
      <c r="D466">
        <v>192</v>
      </c>
      <c r="E466">
        <v>2.0729093321519998</v>
      </c>
    </row>
    <row r="467" spans="1:5" x14ac:dyDescent="0.25">
      <c r="A467" s="6" t="s">
        <v>4</v>
      </c>
      <c r="B467" s="6" t="s">
        <v>9</v>
      </c>
      <c r="C467" s="6">
        <v>1</v>
      </c>
      <c r="D467">
        <v>216</v>
      </c>
      <c r="E467">
        <v>1.3945877321519999</v>
      </c>
    </row>
    <row r="468" spans="1:5" x14ac:dyDescent="0.25">
      <c r="A468" s="6" t="s">
        <v>4</v>
      </c>
      <c r="B468" s="6" t="s">
        <v>9</v>
      </c>
      <c r="C468" s="6">
        <v>1</v>
      </c>
      <c r="D468">
        <v>240</v>
      </c>
      <c r="E468">
        <v>2.185962932152</v>
      </c>
    </row>
    <row r="469" spans="1:5" x14ac:dyDescent="0.25">
      <c r="A469" s="6" t="s">
        <v>4</v>
      </c>
      <c r="B469" s="6" t="s">
        <v>9</v>
      </c>
      <c r="C469" s="6">
        <v>1</v>
      </c>
      <c r="D469">
        <v>264</v>
      </c>
      <c r="E469">
        <v>2.0870853321519998</v>
      </c>
    </row>
    <row r="470" spans="1:5" x14ac:dyDescent="0.25">
      <c r="A470" s="6" t="s">
        <v>4</v>
      </c>
      <c r="B470" s="6" t="s">
        <v>9</v>
      </c>
      <c r="C470" s="6">
        <v>1</v>
      </c>
      <c r="D470">
        <v>288</v>
      </c>
      <c r="E470">
        <v>1.9956501321520002</v>
      </c>
    </row>
    <row r="471" spans="1:5" x14ac:dyDescent="0.25">
      <c r="A471" s="6" t="s">
        <v>4</v>
      </c>
      <c r="B471" s="6" t="s">
        <v>9</v>
      </c>
      <c r="C471" s="6">
        <v>2</v>
      </c>
      <c r="D471">
        <v>0</v>
      </c>
      <c r="E471">
        <v>0.25802693215200001</v>
      </c>
    </row>
    <row r="472" spans="1:5" x14ac:dyDescent="0.25">
      <c r="A472" s="6" t="s">
        <v>4</v>
      </c>
      <c r="B472" s="6" t="s">
        <v>9</v>
      </c>
      <c r="C472" s="6">
        <v>2</v>
      </c>
      <c r="D472">
        <v>24</v>
      </c>
      <c r="E472">
        <v>0.13469573215200001</v>
      </c>
    </row>
    <row r="473" spans="1:5" x14ac:dyDescent="0.25">
      <c r="A473" s="6" t="s">
        <v>4</v>
      </c>
      <c r="B473" s="6" t="s">
        <v>9</v>
      </c>
      <c r="C473" s="6">
        <v>2</v>
      </c>
      <c r="D473">
        <v>48</v>
      </c>
      <c r="E473">
        <v>0.17261653215200001</v>
      </c>
    </row>
    <row r="474" spans="1:5" x14ac:dyDescent="0.25">
      <c r="A474" s="6" t="s">
        <v>4</v>
      </c>
      <c r="B474" s="6" t="s">
        <v>9</v>
      </c>
      <c r="C474" s="6">
        <v>2</v>
      </c>
      <c r="D474">
        <v>72</v>
      </c>
      <c r="E474">
        <v>0.17049013215200001</v>
      </c>
    </row>
    <row r="475" spans="1:5" x14ac:dyDescent="0.25">
      <c r="A475" s="6" t="s">
        <v>4</v>
      </c>
      <c r="B475" s="6" t="s">
        <v>9</v>
      </c>
      <c r="C475" s="6">
        <v>2</v>
      </c>
      <c r="D475">
        <v>96</v>
      </c>
      <c r="E475">
        <v>0.39234453215200005</v>
      </c>
    </row>
    <row r="476" spans="1:5" x14ac:dyDescent="0.25">
      <c r="A476" s="6" t="s">
        <v>4</v>
      </c>
      <c r="B476" s="6" t="s">
        <v>9</v>
      </c>
      <c r="C476" s="6">
        <v>2</v>
      </c>
      <c r="D476">
        <v>120</v>
      </c>
      <c r="E476">
        <v>0.44588266430400003</v>
      </c>
    </row>
    <row r="477" spans="1:5" x14ac:dyDescent="0.25">
      <c r="A477" s="6" t="s">
        <v>4</v>
      </c>
      <c r="B477" s="6" t="s">
        <v>9</v>
      </c>
      <c r="C477" s="6">
        <v>2</v>
      </c>
      <c r="D477">
        <v>144</v>
      </c>
      <c r="E477">
        <v>1.1543045321520002</v>
      </c>
    </row>
    <row r="478" spans="1:5" x14ac:dyDescent="0.25">
      <c r="A478" s="6" t="s">
        <v>4</v>
      </c>
      <c r="B478" s="6" t="s">
        <v>9</v>
      </c>
      <c r="C478" s="6">
        <v>2</v>
      </c>
      <c r="D478">
        <v>168</v>
      </c>
      <c r="E478">
        <v>1.034871732152</v>
      </c>
    </row>
    <row r="479" spans="1:5" x14ac:dyDescent="0.25">
      <c r="A479" s="6" t="s">
        <v>4</v>
      </c>
      <c r="B479" s="6" t="s">
        <v>9</v>
      </c>
      <c r="C479" s="6">
        <v>2</v>
      </c>
      <c r="D479">
        <v>192</v>
      </c>
      <c r="E479">
        <v>1.6543629321520001</v>
      </c>
    </row>
    <row r="480" spans="1:5" x14ac:dyDescent="0.25">
      <c r="A480" s="6" t="s">
        <v>4</v>
      </c>
      <c r="B480" s="6" t="s">
        <v>9</v>
      </c>
      <c r="C480" s="6">
        <v>2</v>
      </c>
      <c r="D480">
        <v>216</v>
      </c>
      <c r="E480">
        <v>1.6472749321520002</v>
      </c>
    </row>
    <row r="481" spans="1:5" x14ac:dyDescent="0.25">
      <c r="A481" s="6" t="s">
        <v>4</v>
      </c>
      <c r="B481" s="6" t="s">
        <v>9</v>
      </c>
      <c r="C481" s="6">
        <v>2</v>
      </c>
      <c r="D481">
        <v>240</v>
      </c>
      <c r="E481">
        <v>2.2107709321519997</v>
      </c>
    </row>
    <row r="482" spans="1:5" x14ac:dyDescent="0.25">
      <c r="A482" s="6" t="s">
        <v>4</v>
      </c>
      <c r="B482" s="6" t="s">
        <v>9</v>
      </c>
      <c r="C482" s="6">
        <v>2</v>
      </c>
      <c r="D482">
        <v>264</v>
      </c>
      <c r="E482">
        <v>2.0406589321519997</v>
      </c>
    </row>
    <row r="483" spans="1:5" x14ac:dyDescent="0.25">
      <c r="A483" s="6" t="s">
        <v>4</v>
      </c>
      <c r="B483" s="6" t="s">
        <v>9</v>
      </c>
      <c r="C483" s="6">
        <v>2</v>
      </c>
      <c r="D483">
        <v>288</v>
      </c>
      <c r="E483">
        <v>1.9626909321520003</v>
      </c>
    </row>
    <row r="484" spans="1:5" x14ac:dyDescent="0.25">
      <c r="A484" s="6" t="s">
        <v>4</v>
      </c>
      <c r="B484" s="6" t="s">
        <v>9</v>
      </c>
      <c r="C484" s="6">
        <v>3</v>
      </c>
      <c r="D484">
        <v>0</v>
      </c>
      <c r="E484">
        <v>0.232510132152</v>
      </c>
    </row>
    <row r="485" spans="1:5" x14ac:dyDescent="0.25">
      <c r="A485" s="6" t="s">
        <v>4</v>
      </c>
      <c r="B485" s="6" t="s">
        <v>9</v>
      </c>
      <c r="C485" s="6">
        <v>3</v>
      </c>
      <c r="D485">
        <v>24</v>
      </c>
      <c r="E485">
        <v>0.13930293215200001</v>
      </c>
    </row>
    <row r="486" spans="1:5" x14ac:dyDescent="0.25">
      <c r="A486" s="6" t="s">
        <v>4</v>
      </c>
      <c r="B486" s="6" t="s">
        <v>9</v>
      </c>
      <c r="C486" s="6">
        <v>3</v>
      </c>
      <c r="D486">
        <v>48</v>
      </c>
      <c r="E486">
        <v>0.16375653215200001</v>
      </c>
    </row>
    <row r="487" spans="1:5" x14ac:dyDescent="0.25">
      <c r="A487" s="6" t="s">
        <v>4</v>
      </c>
      <c r="B487" s="6" t="s">
        <v>9</v>
      </c>
      <c r="C487" s="6">
        <v>3</v>
      </c>
      <c r="D487">
        <v>72</v>
      </c>
      <c r="E487">
        <v>0.17332533215199999</v>
      </c>
    </row>
    <row r="488" spans="1:5" x14ac:dyDescent="0.25">
      <c r="A488" s="6" t="s">
        <v>4</v>
      </c>
      <c r="B488" s="6" t="s">
        <v>9</v>
      </c>
      <c r="C488" s="6">
        <v>3</v>
      </c>
      <c r="D488">
        <v>96</v>
      </c>
      <c r="E488">
        <v>0.36434693215200004</v>
      </c>
    </row>
    <row r="489" spans="1:5" x14ac:dyDescent="0.25">
      <c r="A489" s="6" t="s">
        <v>4</v>
      </c>
      <c r="B489" s="6" t="s">
        <v>9</v>
      </c>
      <c r="C489" s="6">
        <v>3</v>
      </c>
      <c r="D489">
        <v>120</v>
      </c>
      <c r="E489">
        <v>0.40973386430400005</v>
      </c>
    </row>
    <row r="490" spans="1:5" x14ac:dyDescent="0.25">
      <c r="A490" s="6" t="s">
        <v>4</v>
      </c>
      <c r="B490" s="6" t="s">
        <v>9</v>
      </c>
      <c r="C490" s="6">
        <v>3</v>
      </c>
      <c r="D490">
        <v>144</v>
      </c>
      <c r="E490">
        <v>0.82081413215199994</v>
      </c>
    </row>
    <row r="491" spans="1:5" x14ac:dyDescent="0.25">
      <c r="A491" s="6" t="s">
        <v>4</v>
      </c>
      <c r="B491" s="6" t="s">
        <v>9</v>
      </c>
      <c r="C491" s="6">
        <v>3</v>
      </c>
      <c r="D491">
        <v>168</v>
      </c>
      <c r="E491">
        <v>0.76233813215199997</v>
      </c>
    </row>
    <row r="492" spans="1:5" x14ac:dyDescent="0.25">
      <c r="A492" s="6" t="s">
        <v>4</v>
      </c>
      <c r="B492" s="6" t="s">
        <v>9</v>
      </c>
      <c r="C492" s="6">
        <v>3</v>
      </c>
      <c r="D492">
        <v>192</v>
      </c>
      <c r="E492">
        <v>1.2896853321520001</v>
      </c>
    </row>
    <row r="493" spans="1:5" x14ac:dyDescent="0.25">
      <c r="A493" s="6" t="s">
        <v>4</v>
      </c>
      <c r="B493" s="6" t="s">
        <v>9</v>
      </c>
      <c r="C493" s="6">
        <v>3</v>
      </c>
      <c r="D493">
        <v>216</v>
      </c>
      <c r="E493">
        <v>1.304924532152</v>
      </c>
    </row>
    <row r="494" spans="1:5" x14ac:dyDescent="0.25">
      <c r="A494" s="6" t="s">
        <v>4</v>
      </c>
      <c r="B494" s="6" t="s">
        <v>9</v>
      </c>
      <c r="C494" s="6">
        <v>3</v>
      </c>
      <c r="D494">
        <v>240</v>
      </c>
      <c r="E494">
        <v>1.776630932152</v>
      </c>
    </row>
    <row r="495" spans="1:5" x14ac:dyDescent="0.25">
      <c r="A495" s="6" t="s">
        <v>4</v>
      </c>
      <c r="B495" s="6" t="s">
        <v>9</v>
      </c>
      <c r="C495" s="6">
        <v>3</v>
      </c>
      <c r="D495">
        <v>264</v>
      </c>
      <c r="E495">
        <v>1.9130749321520002</v>
      </c>
    </row>
    <row r="496" spans="1:5" x14ac:dyDescent="0.25">
      <c r="A496" s="6" t="s">
        <v>4</v>
      </c>
      <c r="B496" s="6" t="s">
        <v>9</v>
      </c>
      <c r="C496" s="6">
        <v>3</v>
      </c>
      <c r="D496">
        <v>288</v>
      </c>
      <c r="E496">
        <v>1.8670029321520001</v>
      </c>
    </row>
    <row r="497" spans="1:5" x14ac:dyDescent="0.25">
      <c r="A497" s="6" t="s">
        <v>10</v>
      </c>
      <c r="B497" s="6" t="s">
        <v>9</v>
      </c>
      <c r="C497" s="6">
        <v>1</v>
      </c>
      <c r="D497" s="2">
        <v>0</v>
      </c>
      <c r="E497" s="3">
        <v>0.2</v>
      </c>
    </row>
    <row r="498" spans="1:5" x14ac:dyDescent="0.25">
      <c r="A498" s="6" t="s">
        <v>10</v>
      </c>
      <c r="B498" s="6" t="s">
        <v>9</v>
      </c>
      <c r="C498" s="6">
        <v>1</v>
      </c>
      <c r="D498">
        <v>24</v>
      </c>
      <c r="E498" s="1">
        <v>0.34</v>
      </c>
    </row>
    <row r="499" spans="1:5" x14ac:dyDescent="0.25">
      <c r="A499" s="6" t="s">
        <v>10</v>
      </c>
      <c r="B499" s="6" t="s">
        <v>9</v>
      </c>
      <c r="C499" s="6">
        <v>1</v>
      </c>
      <c r="D499">
        <v>29.25</v>
      </c>
      <c r="E499" s="1">
        <v>0.63</v>
      </c>
    </row>
    <row r="500" spans="1:5" x14ac:dyDescent="0.25">
      <c r="A500" s="6" t="s">
        <v>10</v>
      </c>
      <c r="B500" s="6" t="s">
        <v>9</v>
      </c>
      <c r="C500" s="6">
        <v>1</v>
      </c>
      <c r="D500">
        <v>39.75</v>
      </c>
      <c r="E500" s="1">
        <v>0.8</v>
      </c>
    </row>
    <row r="501" spans="1:5" x14ac:dyDescent="0.25">
      <c r="A501" s="6" t="s">
        <v>10</v>
      </c>
      <c r="B501" s="6" t="s">
        <v>9</v>
      </c>
      <c r="C501" s="6">
        <v>1</v>
      </c>
      <c r="D501">
        <v>51</v>
      </c>
      <c r="E501" s="1">
        <v>1.38</v>
      </c>
    </row>
    <row r="502" spans="1:5" x14ac:dyDescent="0.25">
      <c r="A502" s="6" t="s">
        <v>10</v>
      </c>
      <c r="B502" s="6" t="s">
        <v>9</v>
      </c>
      <c r="C502" s="6">
        <v>1</v>
      </c>
      <c r="D502">
        <v>63.75</v>
      </c>
      <c r="E502" s="1">
        <v>1.8</v>
      </c>
    </row>
    <row r="503" spans="1:5" x14ac:dyDescent="0.25">
      <c r="A503" s="6" t="s">
        <v>10</v>
      </c>
      <c r="B503" s="6" t="s">
        <v>9</v>
      </c>
      <c r="C503" s="6">
        <v>1</v>
      </c>
      <c r="D503">
        <v>75.25</v>
      </c>
      <c r="E503" s="1">
        <v>2.5</v>
      </c>
    </row>
    <row r="504" spans="1:5" x14ac:dyDescent="0.25">
      <c r="A504" s="6" t="s">
        <v>10</v>
      </c>
      <c r="B504" s="6" t="s">
        <v>9</v>
      </c>
      <c r="C504" s="6">
        <v>1</v>
      </c>
      <c r="D504">
        <v>86.75</v>
      </c>
      <c r="E504" s="1">
        <v>1.91</v>
      </c>
    </row>
    <row r="505" spans="1:5" x14ac:dyDescent="0.25">
      <c r="A505" s="6" t="s">
        <v>10</v>
      </c>
      <c r="B505" s="6" t="s">
        <v>9</v>
      </c>
      <c r="C505" s="6">
        <v>1</v>
      </c>
      <c r="D505">
        <v>99.25</v>
      </c>
      <c r="E505" s="1">
        <v>2.0099999999999998</v>
      </c>
    </row>
    <row r="506" spans="1:5" x14ac:dyDescent="0.25">
      <c r="A506" s="6" t="s">
        <v>10</v>
      </c>
      <c r="B506" s="6" t="s">
        <v>9</v>
      </c>
      <c r="C506" s="6">
        <v>2</v>
      </c>
      <c r="D506" s="2">
        <v>0</v>
      </c>
      <c r="E506" s="1">
        <v>0.2</v>
      </c>
    </row>
    <row r="507" spans="1:5" x14ac:dyDescent="0.25">
      <c r="A507" s="6" t="s">
        <v>10</v>
      </c>
      <c r="B507" s="6" t="s">
        <v>9</v>
      </c>
      <c r="C507" s="6">
        <v>2</v>
      </c>
      <c r="D507">
        <v>24</v>
      </c>
      <c r="E507" s="1">
        <v>0.28999999999999998</v>
      </c>
    </row>
    <row r="508" spans="1:5" x14ac:dyDescent="0.25">
      <c r="A508" s="6" t="s">
        <v>10</v>
      </c>
      <c r="B508" s="6" t="s">
        <v>9</v>
      </c>
      <c r="C508" s="6">
        <v>2</v>
      </c>
      <c r="D508">
        <v>29.25</v>
      </c>
      <c r="E508" s="1">
        <v>0.59</v>
      </c>
    </row>
    <row r="509" spans="1:5" x14ac:dyDescent="0.25">
      <c r="A509" s="6" t="s">
        <v>10</v>
      </c>
      <c r="B509" s="6" t="s">
        <v>9</v>
      </c>
      <c r="C509" s="6">
        <v>2</v>
      </c>
      <c r="D509">
        <v>39.75</v>
      </c>
      <c r="E509" s="1">
        <v>0.68</v>
      </c>
    </row>
    <row r="510" spans="1:5" x14ac:dyDescent="0.25">
      <c r="A510" s="6" t="s">
        <v>10</v>
      </c>
      <c r="B510" s="6" t="s">
        <v>9</v>
      </c>
      <c r="C510" s="6">
        <v>2</v>
      </c>
      <c r="D510">
        <v>51</v>
      </c>
      <c r="E510" s="1">
        <v>1.03</v>
      </c>
    </row>
    <row r="511" spans="1:5" x14ac:dyDescent="0.25">
      <c r="A511" s="6" t="s">
        <v>10</v>
      </c>
      <c r="B511" s="6" t="s">
        <v>9</v>
      </c>
      <c r="C511" s="6">
        <v>2</v>
      </c>
      <c r="D511">
        <v>63.75</v>
      </c>
      <c r="E511" s="1">
        <v>1.66</v>
      </c>
    </row>
    <row r="512" spans="1:5" x14ac:dyDescent="0.25">
      <c r="A512" s="6" t="s">
        <v>10</v>
      </c>
      <c r="B512" s="6" t="s">
        <v>9</v>
      </c>
      <c r="C512" s="6">
        <v>2</v>
      </c>
      <c r="D512">
        <v>75.25</v>
      </c>
      <c r="E512" s="1">
        <v>2.2799999999999998</v>
      </c>
    </row>
    <row r="513" spans="1:5" x14ac:dyDescent="0.25">
      <c r="A513" s="6" t="s">
        <v>10</v>
      </c>
      <c r="B513" s="6" t="s">
        <v>9</v>
      </c>
      <c r="C513" s="6">
        <v>2</v>
      </c>
      <c r="D513">
        <v>86.75</v>
      </c>
      <c r="E513" s="1">
        <v>2.1</v>
      </c>
    </row>
    <row r="514" spans="1:5" x14ac:dyDescent="0.25">
      <c r="A514" s="6" t="s">
        <v>10</v>
      </c>
      <c r="B514" s="6" t="s">
        <v>9</v>
      </c>
      <c r="C514" s="6">
        <v>2</v>
      </c>
      <c r="D514">
        <v>99.25</v>
      </c>
      <c r="E514" s="1">
        <v>2.21</v>
      </c>
    </row>
    <row r="515" spans="1:5" x14ac:dyDescent="0.25">
      <c r="A515" s="6" t="s">
        <v>10</v>
      </c>
      <c r="B515" s="6" t="s">
        <v>9</v>
      </c>
      <c r="C515" s="6">
        <v>3</v>
      </c>
      <c r="D515" s="2">
        <v>0</v>
      </c>
      <c r="E515" s="1">
        <v>0.2</v>
      </c>
    </row>
    <row r="516" spans="1:5" x14ac:dyDescent="0.25">
      <c r="A516" s="6" t="s">
        <v>10</v>
      </c>
      <c r="B516" s="6" t="s">
        <v>9</v>
      </c>
      <c r="C516" s="6">
        <v>3</v>
      </c>
      <c r="D516">
        <v>24</v>
      </c>
      <c r="E516" s="1">
        <v>0.25</v>
      </c>
    </row>
    <row r="517" spans="1:5" x14ac:dyDescent="0.25">
      <c r="A517" s="6" t="s">
        <v>10</v>
      </c>
      <c r="B517" s="6" t="s">
        <v>9</v>
      </c>
      <c r="C517" s="6">
        <v>3</v>
      </c>
      <c r="D517">
        <v>29.25</v>
      </c>
      <c r="E517" s="1">
        <v>0.38</v>
      </c>
    </row>
    <row r="518" spans="1:5" x14ac:dyDescent="0.25">
      <c r="A518" s="6" t="s">
        <v>10</v>
      </c>
      <c r="B518" s="6" t="s">
        <v>9</v>
      </c>
      <c r="C518" s="6">
        <v>3</v>
      </c>
      <c r="D518">
        <v>39.75</v>
      </c>
      <c r="E518" s="1">
        <v>0.53</v>
      </c>
    </row>
    <row r="519" spans="1:5" x14ac:dyDescent="0.25">
      <c r="A519" s="6" t="s">
        <v>10</v>
      </c>
      <c r="B519" s="6" t="s">
        <v>9</v>
      </c>
      <c r="C519" s="6">
        <v>3</v>
      </c>
      <c r="D519">
        <v>51</v>
      </c>
      <c r="E519" s="1">
        <v>0.99</v>
      </c>
    </row>
    <row r="520" spans="1:5" x14ac:dyDescent="0.25">
      <c r="A520" s="6" t="s">
        <v>10</v>
      </c>
      <c r="B520" s="6" t="s">
        <v>9</v>
      </c>
      <c r="C520" s="6">
        <v>3</v>
      </c>
      <c r="D520">
        <v>63.75</v>
      </c>
      <c r="E520" s="1">
        <v>1.58</v>
      </c>
    </row>
    <row r="521" spans="1:5" x14ac:dyDescent="0.25">
      <c r="A521" s="6" t="s">
        <v>10</v>
      </c>
      <c r="B521" s="6" t="s">
        <v>9</v>
      </c>
      <c r="C521" s="6">
        <v>3</v>
      </c>
      <c r="D521">
        <v>75.25</v>
      </c>
      <c r="E521" s="1">
        <v>2.33</v>
      </c>
    </row>
    <row r="522" spans="1:5" x14ac:dyDescent="0.25">
      <c r="A522" s="6" t="s">
        <v>10</v>
      </c>
      <c r="B522" s="6" t="s">
        <v>9</v>
      </c>
      <c r="C522" s="6">
        <v>3</v>
      </c>
      <c r="D522">
        <v>86.75</v>
      </c>
      <c r="E522" s="1">
        <v>2</v>
      </c>
    </row>
    <row r="523" spans="1:5" x14ac:dyDescent="0.25">
      <c r="A523" s="6" t="s">
        <v>10</v>
      </c>
      <c r="B523" s="6" t="s">
        <v>9</v>
      </c>
      <c r="C523" s="6">
        <v>3</v>
      </c>
      <c r="D523">
        <v>99.25</v>
      </c>
      <c r="E523" s="1">
        <v>1.9</v>
      </c>
    </row>
    <row r="524" spans="1:5" x14ac:dyDescent="0.25">
      <c r="A524" s="6" t="s">
        <v>17</v>
      </c>
      <c r="B524" s="6" t="s">
        <v>9</v>
      </c>
      <c r="C524" s="6">
        <v>1</v>
      </c>
      <c r="D524">
        <v>0</v>
      </c>
      <c r="E524">
        <v>0.2</v>
      </c>
    </row>
    <row r="525" spans="1:5" x14ac:dyDescent="0.25">
      <c r="A525" s="6" t="s">
        <v>17</v>
      </c>
      <c r="B525" s="6" t="s">
        <v>9</v>
      </c>
      <c r="C525" s="6">
        <v>1</v>
      </c>
      <c r="D525">
        <v>47</v>
      </c>
      <c r="E525">
        <v>0.45</v>
      </c>
    </row>
    <row r="526" spans="1:5" x14ac:dyDescent="0.25">
      <c r="A526" s="6" t="s">
        <v>17</v>
      </c>
      <c r="B526" s="6" t="s">
        <v>9</v>
      </c>
      <c r="C526" s="6">
        <v>1</v>
      </c>
      <c r="D526">
        <v>56.75</v>
      </c>
      <c r="E526">
        <v>0.75</v>
      </c>
    </row>
    <row r="527" spans="1:5" x14ac:dyDescent="0.25">
      <c r="A527" s="6" t="s">
        <v>17</v>
      </c>
      <c r="B527" s="6" t="s">
        <v>9</v>
      </c>
      <c r="C527" s="6">
        <v>1</v>
      </c>
      <c r="D527">
        <v>70</v>
      </c>
      <c r="E527">
        <v>1.21</v>
      </c>
    </row>
    <row r="528" spans="1:5" x14ac:dyDescent="0.25">
      <c r="A528" s="6" t="s">
        <v>17</v>
      </c>
      <c r="B528" s="6" t="s">
        <v>9</v>
      </c>
      <c r="C528" s="6">
        <v>1</v>
      </c>
      <c r="D528">
        <v>81.5</v>
      </c>
      <c r="E528">
        <v>1.57</v>
      </c>
    </row>
    <row r="529" spans="1:5" x14ac:dyDescent="0.25">
      <c r="A529" s="6" t="s">
        <v>17</v>
      </c>
      <c r="B529" s="6" t="s">
        <v>9</v>
      </c>
      <c r="C529" s="6">
        <v>1</v>
      </c>
      <c r="D529">
        <v>97.5</v>
      </c>
      <c r="E529">
        <v>2.2999999999999998</v>
      </c>
    </row>
    <row r="530" spans="1:5" x14ac:dyDescent="0.25">
      <c r="A530" s="6" t="s">
        <v>17</v>
      </c>
      <c r="B530" s="6" t="s">
        <v>9</v>
      </c>
      <c r="C530" s="6">
        <v>1</v>
      </c>
      <c r="D530">
        <v>119</v>
      </c>
      <c r="E530">
        <v>2.76</v>
      </c>
    </row>
    <row r="531" spans="1:5" x14ac:dyDescent="0.25">
      <c r="A531" s="6" t="s">
        <v>17</v>
      </c>
      <c r="B531" s="6" t="s">
        <v>9</v>
      </c>
      <c r="C531" s="6">
        <v>1</v>
      </c>
      <c r="D531">
        <v>128.5</v>
      </c>
      <c r="E531">
        <v>2.91</v>
      </c>
    </row>
    <row r="532" spans="1:5" x14ac:dyDescent="0.25">
      <c r="A532" s="6" t="s">
        <v>17</v>
      </c>
      <c r="B532" s="6" t="s">
        <v>9</v>
      </c>
      <c r="C532" s="6">
        <v>1</v>
      </c>
      <c r="D532">
        <v>149.5</v>
      </c>
      <c r="E532">
        <v>3.28</v>
      </c>
    </row>
    <row r="533" spans="1:5" x14ac:dyDescent="0.25">
      <c r="A533" s="6" t="s">
        <v>17</v>
      </c>
      <c r="B533" s="6" t="s">
        <v>9</v>
      </c>
      <c r="C533" s="6">
        <v>1</v>
      </c>
      <c r="D533">
        <v>162.5</v>
      </c>
      <c r="E533">
        <v>3.23</v>
      </c>
    </row>
    <row r="534" spans="1:5" x14ac:dyDescent="0.25">
      <c r="A534" s="6" t="s">
        <v>17</v>
      </c>
      <c r="B534" s="6" t="s">
        <v>9</v>
      </c>
      <c r="C534" s="6">
        <v>1</v>
      </c>
      <c r="D534">
        <v>173</v>
      </c>
      <c r="E534">
        <v>3.3</v>
      </c>
    </row>
    <row r="535" spans="1:5" x14ac:dyDescent="0.25">
      <c r="A535" s="6" t="s">
        <v>17</v>
      </c>
      <c r="B535" s="6" t="s">
        <v>9</v>
      </c>
      <c r="C535" s="6">
        <v>2</v>
      </c>
      <c r="D535">
        <v>0</v>
      </c>
      <c r="E535">
        <v>0.2</v>
      </c>
    </row>
    <row r="536" spans="1:5" x14ac:dyDescent="0.25">
      <c r="A536" s="6" t="s">
        <v>17</v>
      </c>
      <c r="B536" s="6" t="s">
        <v>9</v>
      </c>
      <c r="C536" s="6">
        <v>2</v>
      </c>
      <c r="D536">
        <v>47</v>
      </c>
      <c r="E536">
        <v>0.51</v>
      </c>
    </row>
    <row r="537" spans="1:5" x14ac:dyDescent="0.25">
      <c r="A537" s="6" t="s">
        <v>17</v>
      </c>
      <c r="B537" s="6" t="s">
        <v>9</v>
      </c>
      <c r="C537" s="6">
        <v>2</v>
      </c>
      <c r="D537">
        <v>56.75</v>
      </c>
      <c r="E537">
        <v>0.69</v>
      </c>
    </row>
    <row r="538" spans="1:5" x14ac:dyDescent="0.25">
      <c r="A538" s="6" t="s">
        <v>17</v>
      </c>
      <c r="B538" s="6" t="s">
        <v>9</v>
      </c>
      <c r="C538" s="6">
        <v>2</v>
      </c>
      <c r="D538">
        <v>70</v>
      </c>
      <c r="E538">
        <v>1.18</v>
      </c>
    </row>
    <row r="539" spans="1:5" x14ac:dyDescent="0.25">
      <c r="A539" s="6" t="s">
        <v>17</v>
      </c>
      <c r="B539" s="6" t="s">
        <v>9</v>
      </c>
      <c r="C539" s="6">
        <v>2</v>
      </c>
      <c r="D539">
        <v>81.5</v>
      </c>
      <c r="E539">
        <v>1.83</v>
      </c>
    </row>
    <row r="540" spans="1:5" x14ac:dyDescent="0.25">
      <c r="A540" s="6" t="s">
        <v>17</v>
      </c>
      <c r="B540" s="6" t="s">
        <v>9</v>
      </c>
      <c r="C540" s="6">
        <v>2</v>
      </c>
      <c r="D540">
        <v>97.5</v>
      </c>
      <c r="E540">
        <v>2.76</v>
      </c>
    </row>
    <row r="541" spans="1:5" x14ac:dyDescent="0.25">
      <c r="A541" s="6" t="s">
        <v>17</v>
      </c>
      <c r="B541" s="6" t="s">
        <v>9</v>
      </c>
      <c r="C541" s="6">
        <v>2</v>
      </c>
      <c r="D541">
        <v>119</v>
      </c>
      <c r="E541">
        <v>2.71</v>
      </c>
    </row>
    <row r="542" spans="1:5" x14ac:dyDescent="0.25">
      <c r="A542" s="6" t="s">
        <v>17</v>
      </c>
      <c r="B542" s="6" t="s">
        <v>9</v>
      </c>
      <c r="C542" s="6">
        <v>2</v>
      </c>
      <c r="D542">
        <v>128.5</v>
      </c>
      <c r="E542">
        <v>3.06</v>
      </c>
    </row>
    <row r="543" spans="1:5" x14ac:dyDescent="0.25">
      <c r="A543" s="6" t="s">
        <v>17</v>
      </c>
      <c r="B543" s="6" t="s">
        <v>9</v>
      </c>
      <c r="C543" s="6">
        <v>2</v>
      </c>
      <c r="D543">
        <v>149.5</v>
      </c>
      <c r="E543">
        <v>3.22</v>
      </c>
    </row>
    <row r="544" spans="1:5" x14ac:dyDescent="0.25">
      <c r="A544" s="6" t="s">
        <v>17</v>
      </c>
      <c r="B544" s="6" t="s">
        <v>9</v>
      </c>
      <c r="C544" s="6">
        <v>2</v>
      </c>
      <c r="D544">
        <v>162.5</v>
      </c>
      <c r="E544">
        <v>3.21</v>
      </c>
    </row>
    <row r="545" spans="1:5" x14ac:dyDescent="0.25">
      <c r="A545" s="6" t="s">
        <v>17</v>
      </c>
      <c r="B545" s="6" t="s">
        <v>9</v>
      </c>
      <c r="C545" s="6">
        <v>2</v>
      </c>
      <c r="D545">
        <v>173</v>
      </c>
      <c r="E545">
        <v>3.22</v>
      </c>
    </row>
    <row r="546" spans="1:5" x14ac:dyDescent="0.25">
      <c r="A546" s="6" t="s">
        <v>17</v>
      </c>
      <c r="B546" s="6" t="s">
        <v>9</v>
      </c>
      <c r="C546" s="6">
        <v>3</v>
      </c>
      <c r="D546">
        <v>0</v>
      </c>
      <c r="E546">
        <v>0.2</v>
      </c>
    </row>
    <row r="547" spans="1:5" x14ac:dyDescent="0.25">
      <c r="A547" s="6" t="s">
        <v>17</v>
      </c>
      <c r="B547" s="6" t="s">
        <v>9</v>
      </c>
      <c r="C547" s="6">
        <v>3</v>
      </c>
      <c r="D547">
        <v>47</v>
      </c>
      <c r="E547">
        <v>0.56000000000000005</v>
      </c>
    </row>
    <row r="548" spans="1:5" x14ac:dyDescent="0.25">
      <c r="A548" s="6" t="s">
        <v>17</v>
      </c>
      <c r="B548" s="6" t="s">
        <v>9</v>
      </c>
      <c r="C548" s="6">
        <v>3</v>
      </c>
      <c r="D548">
        <v>56.75</v>
      </c>
      <c r="E548">
        <v>0.78</v>
      </c>
    </row>
    <row r="549" spans="1:5" x14ac:dyDescent="0.25">
      <c r="A549" s="6" t="s">
        <v>17</v>
      </c>
      <c r="B549" s="6" t="s">
        <v>9</v>
      </c>
      <c r="C549" s="6">
        <v>3</v>
      </c>
      <c r="D549">
        <v>70</v>
      </c>
      <c r="E549">
        <v>1.1299999999999999</v>
      </c>
    </row>
    <row r="550" spans="1:5" x14ac:dyDescent="0.25">
      <c r="A550" s="6" t="s">
        <v>17</v>
      </c>
      <c r="B550" s="6" t="s">
        <v>9</v>
      </c>
      <c r="C550" s="6">
        <v>3</v>
      </c>
      <c r="D550">
        <v>81.5</v>
      </c>
      <c r="E550">
        <v>1.47</v>
      </c>
    </row>
    <row r="551" spans="1:5" x14ac:dyDescent="0.25">
      <c r="A551" s="6" t="s">
        <v>17</v>
      </c>
      <c r="B551" s="6" t="s">
        <v>9</v>
      </c>
      <c r="C551" s="6">
        <v>3</v>
      </c>
      <c r="D551">
        <v>97.5</v>
      </c>
      <c r="E551">
        <v>2.83</v>
      </c>
    </row>
    <row r="552" spans="1:5" x14ac:dyDescent="0.25">
      <c r="A552" s="6" t="s">
        <v>17</v>
      </c>
      <c r="B552" s="6" t="s">
        <v>9</v>
      </c>
      <c r="C552" s="6">
        <v>3</v>
      </c>
      <c r="D552">
        <v>119</v>
      </c>
      <c r="E552">
        <v>2.7</v>
      </c>
    </row>
    <row r="553" spans="1:5" x14ac:dyDescent="0.25">
      <c r="A553" s="6" t="s">
        <v>17</v>
      </c>
      <c r="B553" s="6" t="s">
        <v>9</v>
      </c>
      <c r="C553" s="6">
        <v>3</v>
      </c>
      <c r="D553">
        <v>128.5</v>
      </c>
      <c r="E553">
        <v>3.1</v>
      </c>
    </row>
    <row r="554" spans="1:5" x14ac:dyDescent="0.25">
      <c r="A554" s="6" t="s">
        <v>17</v>
      </c>
      <c r="B554" s="6" t="s">
        <v>9</v>
      </c>
      <c r="C554" s="6">
        <v>3</v>
      </c>
      <c r="D554">
        <v>149.5</v>
      </c>
      <c r="E554">
        <v>3.17</v>
      </c>
    </row>
    <row r="555" spans="1:5" x14ac:dyDescent="0.25">
      <c r="A555" s="6" t="s">
        <v>17</v>
      </c>
      <c r="B555" s="6" t="s">
        <v>9</v>
      </c>
      <c r="C555" s="6">
        <v>3</v>
      </c>
      <c r="D555">
        <v>162.5</v>
      </c>
      <c r="E555">
        <v>3.16</v>
      </c>
    </row>
    <row r="556" spans="1:5" x14ac:dyDescent="0.25">
      <c r="A556" s="6" t="s">
        <v>17</v>
      </c>
      <c r="B556" s="6" t="s">
        <v>9</v>
      </c>
      <c r="C556" s="6">
        <v>3</v>
      </c>
      <c r="D556">
        <v>173</v>
      </c>
      <c r="E556">
        <v>3.26</v>
      </c>
    </row>
    <row r="557" spans="1:5" x14ac:dyDescent="0.25">
      <c r="A557" s="6" t="s">
        <v>8</v>
      </c>
      <c r="B557" s="6" t="s">
        <v>9</v>
      </c>
      <c r="C557" s="6">
        <v>1</v>
      </c>
      <c r="D557">
        <v>0</v>
      </c>
      <c r="E557">
        <v>0.2</v>
      </c>
    </row>
    <row r="558" spans="1:5" x14ac:dyDescent="0.25">
      <c r="A558" s="6" t="s">
        <v>8</v>
      </c>
      <c r="B558" s="6" t="s">
        <v>9</v>
      </c>
      <c r="C558" s="6">
        <v>1</v>
      </c>
      <c r="D558">
        <v>12</v>
      </c>
      <c r="E558" s="1">
        <v>0.27</v>
      </c>
    </row>
    <row r="559" spans="1:5" x14ac:dyDescent="0.25">
      <c r="A559" s="6" t="s">
        <v>8</v>
      </c>
      <c r="B559" s="6" t="s">
        <v>9</v>
      </c>
      <c r="C559" s="6">
        <v>1</v>
      </c>
      <c r="D559">
        <v>21.5</v>
      </c>
      <c r="E559" s="1">
        <v>0.55000000000000004</v>
      </c>
    </row>
    <row r="560" spans="1:5" x14ac:dyDescent="0.25">
      <c r="A560" s="6" t="s">
        <v>8</v>
      </c>
      <c r="B560" s="6" t="s">
        <v>9</v>
      </c>
      <c r="C560" s="6">
        <v>1</v>
      </c>
      <c r="D560">
        <v>32.5</v>
      </c>
      <c r="E560" s="1">
        <v>0.78</v>
      </c>
    </row>
    <row r="561" spans="1:5" x14ac:dyDescent="0.25">
      <c r="A561" s="6" t="s">
        <v>8</v>
      </c>
      <c r="B561" s="6" t="s">
        <v>9</v>
      </c>
      <c r="C561" s="6">
        <v>1</v>
      </c>
      <c r="D561">
        <v>40</v>
      </c>
      <c r="E561" s="1">
        <v>0.76</v>
      </c>
    </row>
    <row r="562" spans="1:5" x14ac:dyDescent="0.25">
      <c r="A562" s="6" t="s">
        <v>8</v>
      </c>
      <c r="B562" s="6" t="s">
        <v>9</v>
      </c>
      <c r="C562" s="6">
        <v>1</v>
      </c>
      <c r="D562">
        <v>46</v>
      </c>
      <c r="E562" s="1">
        <v>1.28</v>
      </c>
    </row>
    <row r="563" spans="1:5" x14ac:dyDescent="0.25">
      <c r="A563" s="6" t="s">
        <v>8</v>
      </c>
      <c r="B563" s="6" t="s">
        <v>9</v>
      </c>
      <c r="C563" s="6">
        <v>1</v>
      </c>
      <c r="D563">
        <v>58</v>
      </c>
      <c r="E563" s="1">
        <v>1.1200000000000001</v>
      </c>
    </row>
    <row r="564" spans="1:5" x14ac:dyDescent="0.25">
      <c r="A564" s="6" t="s">
        <v>8</v>
      </c>
      <c r="B564" s="6" t="s">
        <v>9</v>
      </c>
      <c r="C564" s="6">
        <v>1</v>
      </c>
      <c r="D564">
        <v>70</v>
      </c>
      <c r="E564" s="1">
        <v>1.2</v>
      </c>
    </row>
    <row r="565" spans="1:5" x14ac:dyDescent="0.25">
      <c r="A565" s="6" t="s">
        <v>8</v>
      </c>
      <c r="B565" s="6" t="s">
        <v>9</v>
      </c>
      <c r="C565" s="6">
        <v>1</v>
      </c>
      <c r="D565">
        <v>82</v>
      </c>
      <c r="E565" s="1">
        <v>1.22</v>
      </c>
    </row>
    <row r="566" spans="1:5" x14ac:dyDescent="0.25">
      <c r="A566" s="6" t="s">
        <v>8</v>
      </c>
      <c r="B566" s="6" t="s">
        <v>9</v>
      </c>
      <c r="C566" s="6">
        <v>2</v>
      </c>
      <c r="D566">
        <v>0</v>
      </c>
      <c r="E566">
        <v>0.2</v>
      </c>
    </row>
    <row r="567" spans="1:5" x14ac:dyDescent="0.25">
      <c r="A567" s="6" t="s">
        <v>8</v>
      </c>
      <c r="B567" s="6" t="s">
        <v>9</v>
      </c>
      <c r="C567" s="6">
        <v>2</v>
      </c>
      <c r="D567">
        <v>12</v>
      </c>
      <c r="E567" s="1">
        <v>0.25</v>
      </c>
    </row>
    <row r="568" spans="1:5" x14ac:dyDescent="0.25">
      <c r="A568" s="6" t="s">
        <v>8</v>
      </c>
      <c r="B568" s="6" t="s">
        <v>9</v>
      </c>
      <c r="C568" s="6">
        <v>2</v>
      </c>
      <c r="D568">
        <v>21.5</v>
      </c>
      <c r="E568" s="1">
        <v>0.5</v>
      </c>
    </row>
    <row r="569" spans="1:5" x14ac:dyDescent="0.25">
      <c r="A569" s="6" t="s">
        <v>8</v>
      </c>
      <c r="B569" s="6" t="s">
        <v>9</v>
      </c>
      <c r="C569" s="6">
        <v>2</v>
      </c>
      <c r="D569">
        <v>32.5</v>
      </c>
      <c r="E569" s="1">
        <v>0.71</v>
      </c>
    </row>
    <row r="570" spans="1:5" x14ac:dyDescent="0.25">
      <c r="A570" s="6" t="s">
        <v>8</v>
      </c>
      <c r="B570" s="6" t="s">
        <v>9</v>
      </c>
      <c r="C570" s="6">
        <v>2</v>
      </c>
      <c r="D570">
        <v>40</v>
      </c>
      <c r="E570" s="1">
        <v>0.82</v>
      </c>
    </row>
    <row r="571" spans="1:5" x14ac:dyDescent="0.25">
      <c r="A571" s="6" t="s">
        <v>8</v>
      </c>
      <c r="B571" s="6" t="s">
        <v>9</v>
      </c>
      <c r="C571" s="6">
        <v>2</v>
      </c>
      <c r="D571">
        <v>46</v>
      </c>
      <c r="E571" s="1">
        <v>1.17</v>
      </c>
    </row>
    <row r="572" spans="1:5" x14ac:dyDescent="0.25">
      <c r="A572" s="6" t="s">
        <v>8</v>
      </c>
      <c r="B572" s="6" t="s">
        <v>9</v>
      </c>
      <c r="C572" s="6">
        <v>2</v>
      </c>
      <c r="D572">
        <v>58</v>
      </c>
      <c r="E572" s="1">
        <v>1.05</v>
      </c>
    </row>
    <row r="573" spans="1:5" x14ac:dyDescent="0.25">
      <c r="A573" s="6" t="s">
        <v>8</v>
      </c>
      <c r="B573" s="6" t="s">
        <v>9</v>
      </c>
      <c r="C573" s="6">
        <v>2</v>
      </c>
      <c r="D573">
        <v>70</v>
      </c>
      <c r="E573" s="1">
        <v>1.19</v>
      </c>
    </row>
    <row r="574" spans="1:5" x14ac:dyDescent="0.25">
      <c r="A574" s="6" t="s">
        <v>8</v>
      </c>
      <c r="B574" s="6" t="s">
        <v>9</v>
      </c>
      <c r="C574" s="6">
        <v>2</v>
      </c>
      <c r="D574">
        <v>82</v>
      </c>
      <c r="E574" s="1">
        <v>1.1200000000000001</v>
      </c>
    </row>
    <row r="575" spans="1:5" x14ac:dyDescent="0.25">
      <c r="A575" s="6" t="s">
        <v>8</v>
      </c>
      <c r="B575" s="6" t="s">
        <v>9</v>
      </c>
      <c r="C575" s="6">
        <v>3</v>
      </c>
      <c r="D575">
        <v>0</v>
      </c>
      <c r="E575">
        <v>0.2</v>
      </c>
    </row>
    <row r="576" spans="1:5" x14ac:dyDescent="0.25">
      <c r="A576" s="6" t="s">
        <v>8</v>
      </c>
      <c r="B576" s="6" t="s">
        <v>9</v>
      </c>
      <c r="C576" s="6">
        <v>3</v>
      </c>
      <c r="D576">
        <v>12</v>
      </c>
      <c r="E576" s="1">
        <v>0.24</v>
      </c>
    </row>
    <row r="577" spans="1:5" x14ac:dyDescent="0.25">
      <c r="A577" s="6" t="s">
        <v>8</v>
      </c>
      <c r="B577" s="6" t="s">
        <v>9</v>
      </c>
      <c r="C577" s="6">
        <v>3</v>
      </c>
      <c r="D577">
        <v>21.5</v>
      </c>
      <c r="E577" s="1">
        <v>0.45</v>
      </c>
    </row>
    <row r="578" spans="1:5" x14ac:dyDescent="0.25">
      <c r="A578" s="6" t="s">
        <v>8</v>
      </c>
      <c r="B578" s="6" t="s">
        <v>9</v>
      </c>
      <c r="C578" s="6">
        <v>3</v>
      </c>
      <c r="D578">
        <v>32.5</v>
      </c>
      <c r="E578" s="1">
        <v>0.7</v>
      </c>
    </row>
    <row r="579" spans="1:5" x14ac:dyDescent="0.25">
      <c r="A579" s="6" t="s">
        <v>8</v>
      </c>
      <c r="B579" s="6" t="s">
        <v>9</v>
      </c>
      <c r="C579" s="6">
        <v>3</v>
      </c>
      <c r="D579">
        <v>40</v>
      </c>
      <c r="E579" s="1">
        <v>0.76</v>
      </c>
    </row>
    <row r="580" spans="1:5" x14ac:dyDescent="0.25">
      <c r="A580" s="6" t="s">
        <v>8</v>
      </c>
      <c r="B580" s="6" t="s">
        <v>9</v>
      </c>
      <c r="C580" s="6">
        <v>3</v>
      </c>
      <c r="D580">
        <v>46</v>
      </c>
      <c r="E580" s="1">
        <v>1.23</v>
      </c>
    </row>
    <row r="581" spans="1:5" x14ac:dyDescent="0.25">
      <c r="A581" s="6" t="s">
        <v>8</v>
      </c>
      <c r="B581" s="6" t="s">
        <v>9</v>
      </c>
      <c r="C581" s="6">
        <v>3</v>
      </c>
      <c r="D581">
        <v>58</v>
      </c>
      <c r="E581" s="1">
        <v>1.1100000000000001</v>
      </c>
    </row>
    <row r="582" spans="1:5" x14ac:dyDescent="0.25">
      <c r="A582" s="6" t="s">
        <v>8</v>
      </c>
      <c r="B582" s="6" t="s">
        <v>9</v>
      </c>
      <c r="C582" s="6">
        <v>3</v>
      </c>
      <c r="D582">
        <v>70</v>
      </c>
      <c r="E582" s="1">
        <v>1.18</v>
      </c>
    </row>
    <row r="583" spans="1:5" x14ac:dyDescent="0.25">
      <c r="A583" s="6" t="s">
        <v>8</v>
      </c>
      <c r="B583" s="6" t="s">
        <v>9</v>
      </c>
      <c r="C583" s="6">
        <v>3</v>
      </c>
      <c r="D583">
        <v>82</v>
      </c>
      <c r="E583" s="1">
        <v>1.1399999999999999</v>
      </c>
    </row>
    <row r="584" spans="1:5" x14ac:dyDescent="0.25">
      <c r="A584" s="6" t="s">
        <v>11</v>
      </c>
      <c r="B584" s="6" t="s">
        <v>9</v>
      </c>
      <c r="C584" s="6">
        <v>1</v>
      </c>
      <c r="D584">
        <v>0</v>
      </c>
      <c r="E584">
        <v>0.45890933333333334</v>
      </c>
    </row>
    <row r="585" spans="1:5" x14ac:dyDescent="0.25">
      <c r="A585" s="6" t="s">
        <v>11</v>
      </c>
      <c r="B585" s="6" t="s">
        <v>9</v>
      </c>
      <c r="C585" s="6">
        <v>1</v>
      </c>
      <c r="D585">
        <v>24</v>
      </c>
      <c r="E585">
        <v>0.49127786666666662</v>
      </c>
    </row>
    <row r="586" spans="1:5" x14ac:dyDescent="0.25">
      <c r="A586" s="6" t="s">
        <v>11</v>
      </c>
      <c r="B586" s="6" t="s">
        <v>9</v>
      </c>
      <c r="C586" s="6">
        <v>1</v>
      </c>
      <c r="D586">
        <v>48</v>
      </c>
      <c r="E586">
        <v>0.47379413333333331</v>
      </c>
    </row>
    <row r="587" spans="1:5" x14ac:dyDescent="0.25">
      <c r="A587" s="6" t="s">
        <v>11</v>
      </c>
      <c r="B587" s="6" t="s">
        <v>9</v>
      </c>
      <c r="C587" s="6">
        <v>1</v>
      </c>
      <c r="D587">
        <v>72</v>
      </c>
      <c r="E587">
        <v>0.55979519999999994</v>
      </c>
    </row>
    <row r="588" spans="1:5" x14ac:dyDescent="0.25">
      <c r="A588" s="6" t="s">
        <v>11</v>
      </c>
      <c r="B588" s="6" t="s">
        <v>9</v>
      </c>
      <c r="C588" s="6">
        <v>1</v>
      </c>
      <c r="D588">
        <v>96</v>
      </c>
      <c r="E588">
        <v>0.62405973333333331</v>
      </c>
    </row>
    <row r="589" spans="1:5" x14ac:dyDescent="0.25">
      <c r="A589" s="6" t="s">
        <v>11</v>
      </c>
      <c r="B589" s="6" t="s">
        <v>9</v>
      </c>
      <c r="C589" s="6">
        <v>1</v>
      </c>
      <c r="D589">
        <v>120</v>
      </c>
      <c r="E589">
        <v>0.7693637333333333</v>
      </c>
    </row>
    <row r="590" spans="1:5" x14ac:dyDescent="0.25">
      <c r="A590" s="6" t="s">
        <v>11</v>
      </c>
      <c r="B590" s="6" t="s">
        <v>9</v>
      </c>
      <c r="C590" s="6">
        <v>1</v>
      </c>
      <c r="D590">
        <v>144</v>
      </c>
      <c r="E590">
        <v>1.1443189333333335</v>
      </c>
    </row>
    <row r="591" spans="1:5" x14ac:dyDescent="0.25">
      <c r="A591" s="6" t="s">
        <v>11</v>
      </c>
      <c r="B591" s="6" t="s">
        <v>9</v>
      </c>
      <c r="C591" s="6">
        <v>1</v>
      </c>
      <c r="D591">
        <v>168</v>
      </c>
      <c r="E591">
        <v>1.4866693333333334</v>
      </c>
    </row>
    <row r="592" spans="1:5" x14ac:dyDescent="0.25">
      <c r="A592" s="6" t="s">
        <v>11</v>
      </c>
      <c r="B592" s="6" t="s">
        <v>9</v>
      </c>
      <c r="C592" s="6">
        <v>1</v>
      </c>
      <c r="D592">
        <v>192</v>
      </c>
      <c r="E592">
        <v>2.0761546666666661</v>
      </c>
    </row>
    <row r="593" spans="1:5" x14ac:dyDescent="0.25">
      <c r="A593" s="6" t="s">
        <v>11</v>
      </c>
      <c r="B593" s="6" t="s">
        <v>9</v>
      </c>
      <c r="C593" s="6">
        <v>1</v>
      </c>
      <c r="D593">
        <v>216</v>
      </c>
      <c r="E593">
        <v>2.2212223999999998</v>
      </c>
    </row>
    <row r="594" spans="1:5" x14ac:dyDescent="0.25">
      <c r="A594" s="6" t="s">
        <v>11</v>
      </c>
      <c r="B594" s="6" t="s">
        <v>9</v>
      </c>
      <c r="C594" s="6">
        <v>1</v>
      </c>
      <c r="D594">
        <v>240</v>
      </c>
      <c r="E594">
        <v>1.6969466666666666</v>
      </c>
    </row>
    <row r="595" spans="1:5" x14ac:dyDescent="0.25">
      <c r="A595" s="6" t="s">
        <v>11</v>
      </c>
      <c r="B595" s="6" t="s">
        <v>9</v>
      </c>
      <c r="C595" s="6">
        <v>1</v>
      </c>
      <c r="D595">
        <v>264</v>
      </c>
      <c r="E595">
        <v>1.3772778666666667</v>
      </c>
    </row>
    <row r="596" spans="1:5" x14ac:dyDescent="0.25">
      <c r="A596" s="6" t="s">
        <v>11</v>
      </c>
      <c r="B596" s="6" t="s">
        <v>9</v>
      </c>
      <c r="C596" s="6">
        <v>1</v>
      </c>
      <c r="D596">
        <v>288</v>
      </c>
      <c r="E596">
        <v>1.3588490666666664</v>
      </c>
    </row>
    <row r="597" spans="1:5" x14ac:dyDescent="0.25">
      <c r="A597" s="6" t="s">
        <v>11</v>
      </c>
      <c r="B597" s="6" t="s">
        <v>9</v>
      </c>
      <c r="C597" s="6">
        <v>2</v>
      </c>
      <c r="D597">
        <v>0</v>
      </c>
      <c r="E597">
        <v>0.54821813333333325</v>
      </c>
    </row>
    <row r="598" spans="1:5" x14ac:dyDescent="0.25">
      <c r="A598" s="6" t="s">
        <v>11</v>
      </c>
      <c r="B598" s="6" t="s">
        <v>9</v>
      </c>
      <c r="C598" s="6">
        <v>2</v>
      </c>
      <c r="D598">
        <v>24</v>
      </c>
      <c r="E598">
        <v>0.52341013333333331</v>
      </c>
    </row>
    <row r="599" spans="1:5" x14ac:dyDescent="0.25">
      <c r="A599" s="6" t="s">
        <v>11</v>
      </c>
      <c r="B599" s="6" t="s">
        <v>9</v>
      </c>
      <c r="C599" s="6">
        <v>2</v>
      </c>
      <c r="D599">
        <v>48</v>
      </c>
      <c r="E599">
        <v>0.51892106666666671</v>
      </c>
    </row>
    <row r="600" spans="1:5" x14ac:dyDescent="0.25">
      <c r="A600" s="6" t="s">
        <v>11</v>
      </c>
      <c r="B600" s="6" t="s">
        <v>9</v>
      </c>
      <c r="C600" s="6">
        <v>2</v>
      </c>
      <c r="D600">
        <v>72</v>
      </c>
      <c r="E600">
        <v>0.56735573333333333</v>
      </c>
    </row>
    <row r="601" spans="1:5" x14ac:dyDescent="0.25">
      <c r="A601" s="6" t="s">
        <v>11</v>
      </c>
      <c r="B601" s="6" t="s">
        <v>9</v>
      </c>
      <c r="C601" s="6">
        <v>2</v>
      </c>
      <c r="D601">
        <v>96</v>
      </c>
      <c r="E601">
        <v>0.62216959999999999</v>
      </c>
    </row>
    <row r="602" spans="1:5" x14ac:dyDescent="0.25">
      <c r="A602" s="6" t="s">
        <v>11</v>
      </c>
      <c r="B602" s="6" t="s">
        <v>9</v>
      </c>
      <c r="C602" s="6">
        <v>2</v>
      </c>
      <c r="D602">
        <v>120</v>
      </c>
      <c r="E602">
        <v>0.74857226666666665</v>
      </c>
    </row>
    <row r="603" spans="1:5" x14ac:dyDescent="0.25">
      <c r="A603" s="6" t="s">
        <v>11</v>
      </c>
      <c r="B603" s="6" t="s">
        <v>9</v>
      </c>
      <c r="C603" s="6">
        <v>2</v>
      </c>
      <c r="D603">
        <v>144</v>
      </c>
      <c r="E603">
        <v>1.0453232000000001</v>
      </c>
    </row>
    <row r="604" spans="1:5" x14ac:dyDescent="0.25">
      <c r="A604" s="6" t="s">
        <v>11</v>
      </c>
      <c r="B604" s="6" t="s">
        <v>9</v>
      </c>
      <c r="C604" s="6">
        <v>2</v>
      </c>
      <c r="D604">
        <v>168</v>
      </c>
      <c r="E604">
        <v>1.3914538666666665</v>
      </c>
    </row>
    <row r="605" spans="1:5" x14ac:dyDescent="0.25">
      <c r="A605" s="6" t="s">
        <v>11</v>
      </c>
      <c r="B605" s="6" t="s">
        <v>9</v>
      </c>
      <c r="C605" s="6">
        <v>2</v>
      </c>
      <c r="D605">
        <v>192</v>
      </c>
      <c r="E605">
        <v>1.8734378666666665</v>
      </c>
    </row>
    <row r="606" spans="1:5" x14ac:dyDescent="0.25">
      <c r="A606" s="6" t="s">
        <v>11</v>
      </c>
      <c r="B606" s="6" t="s">
        <v>9</v>
      </c>
      <c r="C606" s="6">
        <v>2</v>
      </c>
      <c r="D606">
        <v>216</v>
      </c>
      <c r="E606">
        <v>2.2238213333333334</v>
      </c>
    </row>
    <row r="607" spans="1:5" x14ac:dyDescent="0.25">
      <c r="A607" s="6" t="s">
        <v>11</v>
      </c>
      <c r="B607" s="6" t="s">
        <v>9</v>
      </c>
      <c r="C607" s="6">
        <v>2</v>
      </c>
      <c r="D607">
        <v>240</v>
      </c>
      <c r="E607">
        <v>1.8654047999999996</v>
      </c>
    </row>
    <row r="608" spans="1:5" x14ac:dyDescent="0.25">
      <c r="A608" s="6" t="s">
        <v>11</v>
      </c>
      <c r="B608" s="6" t="s">
        <v>9</v>
      </c>
      <c r="C608" s="6">
        <v>2</v>
      </c>
      <c r="D608">
        <v>264</v>
      </c>
      <c r="E608">
        <v>1.5249445333333334</v>
      </c>
    </row>
    <row r="609" spans="1:5" x14ac:dyDescent="0.25">
      <c r="A609" s="6" t="s">
        <v>11</v>
      </c>
      <c r="B609" s="6" t="s">
        <v>9</v>
      </c>
      <c r="C609" s="6">
        <v>2</v>
      </c>
      <c r="D609">
        <v>288</v>
      </c>
      <c r="E609">
        <v>1.4958837333333335</v>
      </c>
    </row>
    <row r="610" spans="1:5" x14ac:dyDescent="0.25">
      <c r="A610" s="6" t="s">
        <v>11</v>
      </c>
      <c r="B610" s="6" t="s">
        <v>9</v>
      </c>
      <c r="C610" s="6">
        <v>3</v>
      </c>
      <c r="D610">
        <v>0</v>
      </c>
      <c r="E610">
        <v>0.50001973333333327</v>
      </c>
    </row>
    <row r="611" spans="1:5" x14ac:dyDescent="0.25">
      <c r="A611" s="6" t="s">
        <v>11</v>
      </c>
      <c r="B611" s="6" t="s">
        <v>9</v>
      </c>
      <c r="C611" s="6">
        <v>3</v>
      </c>
      <c r="D611">
        <v>24</v>
      </c>
      <c r="E611">
        <v>0.56263039999999997</v>
      </c>
    </row>
    <row r="612" spans="1:5" x14ac:dyDescent="0.25">
      <c r="A612" s="6" t="s">
        <v>11</v>
      </c>
      <c r="B612" s="6" t="s">
        <v>9</v>
      </c>
      <c r="C612" s="6">
        <v>3</v>
      </c>
      <c r="D612">
        <v>48</v>
      </c>
      <c r="E612">
        <v>0.49600319999999992</v>
      </c>
    </row>
    <row r="613" spans="1:5" x14ac:dyDescent="0.25">
      <c r="A613" s="6" t="s">
        <v>11</v>
      </c>
      <c r="B613" s="6" t="s">
        <v>9</v>
      </c>
      <c r="C613" s="6">
        <v>3</v>
      </c>
      <c r="D613">
        <v>72</v>
      </c>
      <c r="E613">
        <v>0.56664693333333338</v>
      </c>
    </row>
    <row r="614" spans="1:5" x14ac:dyDescent="0.25">
      <c r="A614" s="6" t="s">
        <v>11</v>
      </c>
      <c r="B614" s="6" t="s">
        <v>9</v>
      </c>
      <c r="C614" s="6">
        <v>3</v>
      </c>
      <c r="D614">
        <v>96</v>
      </c>
      <c r="E614">
        <v>0.60444960000000003</v>
      </c>
    </row>
    <row r="615" spans="1:5" x14ac:dyDescent="0.25">
      <c r="A615" s="6" t="s">
        <v>11</v>
      </c>
      <c r="B615" s="6" t="s">
        <v>9</v>
      </c>
      <c r="C615" s="6">
        <v>3</v>
      </c>
      <c r="D615">
        <v>120</v>
      </c>
      <c r="E615">
        <v>0.73345119999999986</v>
      </c>
    </row>
    <row r="616" spans="1:5" x14ac:dyDescent="0.25">
      <c r="A616" s="6" t="s">
        <v>11</v>
      </c>
      <c r="B616" s="6" t="s">
        <v>9</v>
      </c>
      <c r="C616" s="6">
        <v>3</v>
      </c>
      <c r="D616">
        <v>144</v>
      </c>
      <c r="E616">
        <v>0.96593760000000006</v>
      </c>
    </row>
    <row r="617" spans="1:5" x14ac:dyDescent="0.25">
      <c r="A617" s="6" t="s">
        <v>11</v>
      </c>
      <c r="B617" s="6" t="s">
        <v>9</v>
      </c>
      <c r="C617" s="6">
        <v>3</v>
      </c>
      <c r="D617">
        <v>168</v>
      </c>
      <c r="E617">
        <v>1.3952341333333333</v>
      </c>
    </row>
    <row r="618" spans="1:5" x14ac:dyDescent="0.25">
      <c r="A618" s="6" t="s">
        <v>11</v>
      </c>
      <c r="B618" s="6" t="s">
        <v>9</v>
      </c>
      <c r="C618" s="6">
        <v>3</v>
      </c>
      <c r="D618">
        <v>192</v>
      </c>
      <c r="E618">
        <v>1.7801125333333332</v>
      </c>
    </row>
    <row r="619" spans="1:5" x14ac:dyDescent="0.25">
      <c r="A619" s="6" t="s">
        <v>11</v>
      </c>
      <c r="B619" s="6" t="s">
        <v>9</v>
      </c>
      <c r="C619" s="6">
        <v>3</v>
      </c>
      <c r="D619">
        <v>216</v>
      </c>
      <c r="E619">
        <v>2.1082869333333334</v>
      </c>
    </row>
    <row r="620" spans="1:5" x14ac:dyDescent="0.25">
      <c r="A620" s="6" t="s">
        <v>11</v>
      </c>
      <c r="B620" s="6" t="s">
        <v>9</v>
      </c>
      <c r="C620" s="6">
        <v>3</v>
      </c>
      <c r="D620">
        <v>240</v>
      </c>
      <c r="E620">
        <v>1.9218725333333335</v>
      </c>
    </row>
    <row r="621" spans="1:5" x14ac:dyDescent="0.25">
      <c r="A621" s="6" t="s">
        <v>11</v>
      </c>
      <c r="B621" s="6" t="s">
        <v>9</v>
      </c>
      <c r="C621" s="6">
        <v>3</v>
      </c>
      <c r="D621">
        <v>264</v>
      </c>
      <c r="E621">
        <v>1.5651098666666667</v>
      </c>
    </row>
    <row r="622" spans="1:5" x14ac:dyDescent="0.25">
      <c r="A622" s="6" t="s">
        <v>11</v>
      </c>
      <c r="B622" s="6" t="s">
        <v>9</v>
      </c>
      <c r="C622" s="6">
        <v>3</v>
      </c>
      <c r="D622">
        <v>288</v>
      </c>
      <c r="E622">
        <v>1.5100597333333334</v>
      </c>
    </row>
    <row r="623" spans="1:5" x14ac:dyDescent="0.25">
      <c r="A623" s="6" t="s">
        <v>18</v>
      </c>
      <c r="B623" s="6" t="s">
        <v>9</v>
      </c>
      <c r="C623" s="6">
        <v>1</v>
      </c>
      <c r="D623">
        <v>0</v>
      </c>
      <c r="E623" s="1">
        <v>0.2</v>
      </c>
    </row>
    <row r="624" spans="1:5" x14ac:dyDescent="0.25">
      <c r="A624" s="6" t="s">
        <v>18</v>
      </c>
      <c r="B624" s="6" t="s">
        <v>9</v>
      </c>
      <c r="C624" s="6">
        <v>1</v>
      </c>
      <c r="D624">
        <v>24</v>
      </c>
      <c r="E624" s="1">
        <v>0.25</v>
      </c>
    </row>
    <row r="625" spans="1:5" x14ac:dyDescent="0.25">
      <c r="A625" s="6" t="s">
        <v>18</v>
      </c>
      <c r="B625" s="6" t="s">
        <v>9</v>
      </c>
      <c r="C625" s="6">
        <v>1</v>
      </c>
      <c r="D625">
        <v>48</v>
      </c>
      <c r="E625" s="1">
        <v>0.34</v>
      </c>
    </row>
    <row r="626" spans="1:5" x14ac:dyDescent="0.25">
      <c r="A626" s="6" t="s">
        <v>18</v>
      </c>
      <c r="B626" s="6" t="s">
        <v>9</v>
      </c>
      <c r="C626" s="6">
        <v>1</v>
      </c>
      <c r="D626">
        <v>72</v>
      </c>
      <c r="E626" s="1">
        <v>0.43</v>
      </c>
    </row>
    <row r="627" spans="1:5" x14ac:dyDescent="0.25">
      <c r="A627" s="6" t="s">
        <v>18</v>
      </c>
      <c r="B627" s="6" t="s">
        <v>9</v>
      </c>
      <c r="C627" s="6">
        <v>1</v>
      </c>
      <c r="D627">
        <v>100</v>
      </c>
      <c r="E627" s="1">
        <v>0.68</v>
      </c>
    </row>
    <row r="628" spans="1:5" x14ac:dyDescent="0.25">
      <c r="A628" s="6" t="s">
        <v>18</v>
      </c>
      <c r="B628" s="6" t="s">
        <v>9</v>
      </c>
      <c r="C628" s="6">
        <v>1</v>
      </c>
      <c r="D628">
        <v>120</v>
      </c>
      <c r="E628" s="1">
        <v>1.0900000000000001</v>
      </c>
    </row>
    <row r="629" spans="1:5" x14ac:dyDescent="0.25">
      <c r="A629" s="6" t="s">
        <v>18</v>
      </c>
      <c r="B629" s="6" t="s">
        <v>9</v>
      </c>
      <c r="C629" s="6">
        <v>1</v>
      </c>
      <c r="D629">
        <v>144</v>
      </c>
      <c r="E629" s="1">
        <v>1.03</v>
      </c>
    </row>
    <row r="630" spans="1:5" x14ac:dyDescent="0.25">
      <c r="A630" s="6" t="s">
        <v>18</v>
      </c>
      <c r="B630" s="6" t="s">
        <v>9</v>
      </c>
      <c r="C630" s="6">
        <v>1</v>
      </c>
      <c r="D630">
        <v>168</v>
      </c>
      <c r="E630" s="1">
        <v>1.36</v>
      </c>
    </row>
    <row r="631" spans="1:5" x14ac:dyDescent="0.25">
      <c r="A631" s="6" t="s">
        <v>18</v>
      </c>
      <c r="B631" s="6" t="s">
        <v>9</v>
      </c>
      <c r="C631" s="6">
        <v>1</v>
      </c>
      <c r="D631">
        <v>219</v>
      </c>
      <c r="E631" s="1">
        <v>1.36</v>
      </c>
    </row>
    <row r="632" spans="1:5" x14ac:dyDescent="0.25">
      <c r="A632" s="6" t="s">
        <v>18</v>
      </c>
      <c r="B632" s="6" t="s">
        <v>9</v>
      </c>
      <c r="C632" s="6">
        <v>1</v>
      </c>
      <c r="D632">
        <v>287.5</v>
      </c>
      <c r="E632" s="1">
        <v>1.46</v>
      </c>
    </row>
    <row r="633" spans="1:5" x14ac:dyDescent="0.25">
      <c r="A633" s="6" t="s">
        <v>18</v>
      </c>
      <c r="B633" s="6" t="s">
        <v>9</v>
      </c>
      <c r="C633" s="6">
        <v>1</v>
      </c>
      <c r="D633">
        <v>311</v>
      </c>
      <c r="E633" s="1">
        <v>1.62</v>
      </c>
    </row>
    <row r="634" spans="1:5" x14ac:dyDescent="0.25">
      <c r="A634" s="6" t="s">
        <v>18</v>
      </c>
      <c r="B634" s="6" t="s">
        <v>9</v>
      </c>
      <c r="C634" s="6">
        <v>2</v>
      </c>
      <c r="D634">
        <v>0</v>
      </c>
      <c r="E634" s="1">
        <v>0.21</v>
      </c>
    </row>
    <row r="635" spans="1:5" x14ac:dyDescent="0.25">
      <c r="A635" s="6" t="s">
        <v>18</v>
      </c>
      <c r="B635" s="6" t="s">
        <v>9</v>
      </c>
      <c r="C635" s="6">
        <v>2</v>
      </c>
      <c r="D635">
        <v>24</v>
      </c>
      <c r="E635" s="1">
        <v>0.24</v>
      </c>
    </row>
    <row r="636" spans="1:5" x14ac:dyDescent="0.25">
      <c r="A636" s="6" t="s">
        <v>18</v>
      </c>
      <c r="B636" s="6" t="s">
        <v>9</v>
      </c>
      <c r="C636" s="6">
        <v>2</v>
      </c>
      <c r="D636">
        <v>48</v>
      </c>
      <c r="E636" s="1">
        <v>0.39</v>
      </c>
    </row>
    <row r="637" spans="1:5" x14ac:dyDescent="0.25">
      <c r="A637" s="6" t="s">
        <v>18</v>
      </c>
      <c r="B637" s="6" t="s">
        <v>9</v>
      </c>
      <c r="C637" s="6">
        <v>2</v>
      </c>
      <c r="D637">
        <v>72</v>
      </c>
      <c r="E637" s="1">
        <v>0.53</v>
      </c>
    </row>
    <row r="638" spans="1:5" x14ac:dyDescent="0.25">
      <c r="A638" s="6" t="s">
        <v>18</v>
      </c>
      <c r="B638" s="6" t="s">
        <v>9</v>
      </c>
      <c r="C638" s="6">
        <v>2</v>
      </c>
      <c r="D638">
        <v>100</v>
      </c>
      <c r="E638" s="1">
        <v>0.82</v>
      </c>
    </row>
    <row r="639" spans="1:5" x14ac:dyDescent="0.25">
      <c r="A639" s="6" t="s">
        <v>18</v>
      </c>
      <c r="B639" s="6" t="s">
        <v>9</v>
      </c>
      <c r="C639" s="6">
        <v>2</v>
      </c>
      <c r="D639">
        <v>120</v>
      </c>
      <c r="E639" s="1">
        <v>1.1000000000000001</v>
      </c>
    </row>
    <row r="640" spans="1:5" x14ac:dyDescent="0.25">
      <c r="A640" s="6" t="s">
        <v>18</v>
      </c>
      <c r="B640" s="6" t="s">
        <v>9</v>
      </c>
      <c r="C640" s="6">
        <v>2</v>
      </c>
      <c r="D640">
        <v>144</v>
      </c>
      <c r="E640" s="1">
        <v>1.0900000000000001</v>
      </c>
    </row>
    <row r="641" spans="1:5" x14ac:dyDescent="0.25">
      <c r="A641" s="6" t="s">
        <v>18</v>
      </c>
      <c r="B641" s="6" t="s">
        <v>9</v>
      </c>
      <c r="C641" s="6">
        <v>2</v>
      </c>
      <c r="D641">
        <v>168</v>
      </c>
      <c r="E641" s="1">
        <v>1.36</v>
      </c>
    </row>
    <row r="642" spans="1:5" x14ac:dyDescent="0.25">
      <c r="A642" s="6" t="s">
        <v>18</v>
      </c>
      <c r="B642" s="6" t="s">
        <v>9</v>
      </c>
      <c r="C642" s="6">
        <v>2</v>
      </c>
      <c r="D642">
        <v>219</v>
      </c>
      <c r="E642" s="1">
        <v>1.36</v>
      </c>
    </row>
    <row r="643" spans="1:5" x14ac:dyDescent="0.25">
      <c r="A643" s="6" t="s">
        <v>18</v>
      </c>
      <c r="B643" s="6" t="s">
        <v>9</v>
      </c>
      <c r="C643" s="6">
        <v>2</v>
      </c>
      <c r="D643">
        <v>287.5</v>
      </c>
      <c r="E643" s="1">
        <v>1.45</v>
      </c>
    </row>
    <row r="644" spans="1:5" x14ac:dyDescent="0.25">
      <c r="A644" s="6" t="s">
        <v>18</v>
      </c>
      <c r="B644" s="6" t="s">
        <v>9</v>
      </c>
      <c r="C644" s="6">
        <v>2</v>
      </c>
      <c r="D644">
        <v>311</v>
      </c>
      <c r="E644" s="1">
        <v>1.43</v>
      </c>
    </row>
    <row r="645" spans="1:5" x14ac:dyDescent="0.25">
      <c r="A645" s="6" t="s">
        <v>18</v>
      </c>
      <c r="B645" s="6" t="s">
        <v>9</v>
      </c>
      <c r="C645" s="6">
        <v>3</v>
      </c>
      <c r="D645">
        <v>0</v>
      </c>
      <c r="E645" s="1">
        <v>0.19</v>
      </c>
    </row>
    <row r="646" spans="1:5" x14ac:dyDescent="0.25">
      <c r="A646" s="6" t="s">
        <v>18</v>
      </c>
      <c r="B646" s="6" t="s">
        <v>9</v>
      </c>
      <c r="C646" s="6">
        <v>3</v>
      </c>
      <c r="D646">
        <v>24</v>
      </c>
      <c r="E646" s="1">
        <v>0.22</v>
      </c>
    </row>
    <row r="647" spans="1:5" x14ac:dyDescent="0.25">
      <c r="A647" s="6" t="s">
        <v>18</v>
      </c>
      <c r="B647" s="6" t="s">
        <v>9</v>
      </c>
      <c r="C647" s="6">
        <v>3</v>
      </c>
      <c r="D647">
        <v>48</v>
      </c>
      <c r="E647" s="1">
        <v>0.42</v>
      </c>
    </row>
    <row r="648" spans="1:5" x14ac:dyDescent="0.25">
      <c r="A648" s="6" t="s">
        <v>18</v>
      </c>
      <c r="B648" s="6" t="s">
        <v>9</v>
      </c>
      <c r="C648" s="6">
        <v>3</v>
      </c>
      <c r="D648">
        <v>72</v>
      </c>
      <c r="E648" s="1">
        <v>0.48</v>
      </c>
    </row>
    <row r="649" spans="1:5" x14ac:dyDescent="0.25">
      <c r="A649" s="6" t="s">
        <v>18</v>
      </c>
      <c r="B649" s="6" t="s">
        <v>9</v>
      </c>
      <c r="C649" s="6">
        <v>3</v>
      </c>
      <c r="D649">
        <v>100</v>
      </c>
      <c r="E649" s="1">
        <v>0.75</v>
      </c>
    </row>
    <row r="650" spans="1:5" x14ac:dyDescent="0.25">
      <c r="A650" s="6" t="s">
        <v>18</v>
      </c>
      <c r="B650" s="6" t="s">
        <v>9</v>
      </c>
      <c r="C650" s="6">
        <v>3</v>
      </c>
      <c r="D650">
        <v>120</v>
      </c>
      <c r="E650" s="1">
        <v>1.05</v>
      </c>
    </row>
    <row r="651" spans="1:5" x14ac:dyDescent="0.25">
      <c r="A651" s="6" t="s">
        <v>18</v>
      </c>
      <c r="B651" s="6" t="s">
        <v>9</v>
      </c>
      <c r="C651" s="6">
        <v>3</v>
      </c>
      <c r="D651">
        <v>144</v>
      </c>
      <c r="E651" s="1">
        <v>1.19</v>
      </c>
    </row>
    <row r="652" spans="1:5" x14ac:dyDescent="0.25">
      <c r="A652" s="6" t="s">
        <v>18</v>
      </c>
      <c r="B652" s="6" t="s">
        <v>9</v>
      </c>
      <c r="C652" s="6">
        <v>3</v>
      </c>
      <c r="D652">
        <v>168</v>
      </c>
      <c r="E652" s="1">
        <v>1.31</v>
      </c>
    </row>
    <row r="653" spans="1:5" x14ac:dyDescent="0.25">
      <c r="A653" s="6" t="s">
        <v>18</v>
      </c>
      <c r="B653" s="6" t="s">
        <v>9</v>
      </c>
      <c r="C653" s="6">
        <v>3</v>
      </c>
      <c r="D653">
        <v>219</v>
      </c>
      <c r="E653" s="1">
        <v>1.31</v>
      </c>
    </row>
    <row r="654" spans="1:5" x14ac:dyDescent="0.25">
      <c r="A654" s="6" t="s">
        <v>18</v>
      </c>
      <c r="B654" s="6" t="s">
        <v>9</v>
      </c>
      <c r="C654" s="6">
        <v>3</v>
      </c>
      <c r="D654">
        <v>287.5</v>
      </c>
      <c r="E654" s="1">
        <v>1.42</v>
      </c>
    </row>
    <row r="655" spans="1:5" x14ac:dyDescent="0.25">
      <c r="A655" s="6" t="s">
        <v>18</v>
      </c>
      <c r="B655" s="6" t="s">
        <v>9</v>
      </c>
      <c r="C655" s="6">
        <v>3</v>
      </c>
      <c r="D655">
        <v>311</v>
      </c>
      <c r="E655" s="1">
        <v>1.36</v>
      </c>
    </row>
    <row r="656" spans="1:5" x14ac:dyDescent="0.25">
      <c r="A656" s="6" t="s">
        <v>19</v>
      </c>
      <c r="B656" s="6" t="s">
        <v>9</v>
      </c>
      <c r="C656" s="6">
        <v>1</v>
      </c>
      <c r="D656" s="6">
        <v>0</v>
      </c>
      <c r="E656">
        <v>0.2</v>
      </c>
    </row>
    <row r="657" spans="1:5" x14ac:dyDescent="0.25">
      <c r="A657" s="6" t="s">
        <v>19</v>
      </c>
      <c r="B657" s="6" t="s">
        <v>9</v>
      </c>
      <c r="C657" s="6">
        <v>1</v>
      </c>
      <c r="D657" s="6">
        <v>47</v>
      </c>
      <c r="E657">
        <v>0.45</v>
      </c>
    </row>
    <row r="658" spans="1:5" x14ac:dyDescent="0.25">
      <c r="A658" s="6" t="s">
        <v>19</v>
      </c>
      <c r="B658" s="6" t="s">
        <v>9</v>
      </c>
      <c r="C658" s="6">
        <v>1</v>
      </c>
      <c r="D658" s="6">
        <v>56.75</v>
      </c>
      <c r="E658">
        <v>0.75</v>
      </c>
    </row>
    <row r="659" spans="1:5" x14ac:dyDescent="0.25">
      <c r="A659" s="6" t="s">
        <v>19</v>
      </c>
      <c r="B659" s="6" t="s">
        <v>9</v>
      </c>
      <c r="C659" s="6">
        <v>1</v>
      </c>
      <c r="D659" s="6">
        <v>70</v>
      </c>
      <c r="E659">
        <v>1.21</v>
      </c>
    </row>
    <row r="660" spans="1:5" x14ac:dyDescent="0.25">
      <c r="A660" s="6" t="s">
        <v>19</v>
      </c>
      <c r="B660" s="6" t="s">
        <v>9</v>
      </c>
      <c r="C660" s="6">
        <v>1</v>
      </c>
      <c r="D660" s="6">
        <v>88.5</v>
      </c>
      <c r="E660">
        <v>1.57</v>
      </c>
    </row>
    <row r="661" spans="1:5" x14ac:dyDescent="0.25">
      <c r="A661" s="6" t="s">
        <v>19</v>
      </c>
      <c r="B661" s="6" t="s">
        <v>9</v>
      </c>
      <c r="C661" s="6">
        <v>1</v>
      </c>
      <c r="D661" s="6">
        <v>97.5</v>
      </c>
      <c r="E661">
        <v>2.2999999999999998</v>
      </c>
    </row>
    <row r="662" spans="1:5" x14ac:dyDescent="0.25">
      <c r="A662" s="6" t="s">
        <v>19</v>
      </c>
      <c r="B662" s="6" t="s">
        <v>9</v>
      </c>
      <c r="C662" s="6">
        <v>1</v>
      </c>
      <c r="D662" s="6">
        <v>119</v>
      </c>
      <c r="E662">
        <v>2.76</v>
      </c>
    </row>
    <row r="663" spans="1:5" x14ac:dyDescent="0.25">
      <c r="A663" s="6" t="s">
        <v>19</v>
      </c>
      <c r="B663" s="6" t="s">
        <v>9</v>
      </c>
      <c r="C663" s="6">
        <v>1</v>
      </c>
      <c r="D663" s="6">
        <v>128.5</v>
      </c>
      <c r="E663">
        <v>2.92</v>
      </c>
    </row>
    <row r="664" spans="1:5" x14ac:dyDescent="0.25">
      <c r="A664" s="6" t="s">
        <v>19</v>
      </c>
      <c r="B664" s="6" t="s">
        <v>9</v>
      </c>
      <c r="C664" s="6">
        <v>1</v>
      </c>
      <c r="D664" s="6">
        <v>149.5</v>
      </c>
      <c r="E664">
        <v>3.23</v>
      </c>
    </row>
    <row r="665" spans="1:5" x14ac:dyDescent="0.25">
      <c r="A665" s="6" t="s">
        <v>19</v>
      </c>
      <c r="B665" s="6" t="s">
        <v>9</v>
      </c>
      <c r="C665" s="6">
        <v>1</v>
      </c>
      <c r="D665" s="6">
        <v>162.5</v>
      </c>
      <c r="E665">
        <v>3.3</v>
      </c>
    </row>
    <row r="666" spans="1:5" x14ac:dyDescent="0.25">
      <c r="A666" s="6" t="s">
        <v>19</v>
      </c>
      <c r="B666" s="6" t="s">
        <v>9</v>
      </c>
      <c r="C666" s="6">
        <v>1</v>
      </c>
      <c r="D666" s="6">
        <v>173</v>
      </c>
      <c r="E666">
        <v>3.11</v>
      </c>
    </row>
    <row r="667" spans="1:5" x14ac:dyDescent="0.25">
      <c r="A667" s="6" t="s">
        <v>19</v>
      </c>
      <c r="B667" s="6" t="s">
        <v>9</v>
      </c>
      <c r="C667" s="6">
        <v>2</v>
      </c>
      <c r="D667" s="6">
        <v>0</v>
      </c>
      <c r="E667">
        <v>0.2</v>
      </c>
    </row>
    <row r="668" spans="1:5" x14ac:dyDescent="0.25">
      <c r="A668" s="6" t="s">
        <v>19</v>
      </c>
      <c r="B668" s="6" t="s">
        <v>9</v>
      </c>
      <c r="C668" s="6">
        <v>2</v>
      </c>
      <c r="D668" s="6">
        <v>47</v>
      </c>
      <c r="E668">
        <v>0.51</v>
      </c>
    </row>
    <row r="669" spans="1:5" x14ac:dyDescent="0.25">
      <c r="A669" s="6" t="s">
        <v>19</v>
      </c>
      <c r="B669" s="6" t="s">
        <v>9</v>
      </c>
      <c r="C669" s="6">
        <v>2</v>
      </c>
      <c r="D669" s="6">
        <v>56.75</v>
      </c>
      <c r="E669">
        <v>0.69</v>
      </c>
    </row>
    <row r="670" spans="1:5" x14ac:dyDescent="0.25">
      <c r="A670" s="6" t="s">
        <v>19</v>
      </c>
      <c r="B670" s="6" t="s">
        <v>9</v>
      </c>
      <c r="C670" s="6">
        <v>2</v>
      </c>
      <c r="D670" s="6">
        <v>70</v>
      </c>
      <c r="E670">
        <v>1.18</v>
      </c>
    </row>
    <row r="671" spans="1:5" x14ac:dyDescent="0.25">
      <c r="A671" s="6" t="s">
        <v>19</v>
      </c>
      <c r="B671" s="6" t="s">
        <v>9</v>
      </c>
      <c r="C671" s="6">
        <v>2</v>
      </c>
      <c r="D671" s="6">
        <v>88.5</v>
      </c>
      <c r="E671">
        <v>1.83</v>
      </c>
    </row>
    <row r="672" spans="1:5" x14ac:dyDescent="0.25">
      <c r="A672" s="6" t="s">
        <v>19</v>
      </c>
      <c r="B672" s="6" t="s">
        <v>9</v>
      </c>
      <c r="C672" s="6">
        <v>2</v>
      </c>
      <c r="D672" s="6">
        <v>97.5</v>
      </c>
      <c r="E672">
        <v>2.76</v>
      </c>
    </row>
    <row r="673" spans="1:5" x14ac:dyDescent="0.25">
      <c r="A673" s="6" t="s">
        <v>19</v>
      </c>
      <c r="B673" s="6" t="s">
        <v>9</v>
      </c>
      <c r="C673" s="6">
        <v>2</v>
      </c>
      <c r="D673" s="6">
        <v>119</v>
      </c>
      <c r="E673">
        <v>2.71</v>
      </c>
    </row>
    <row r="674" spans="1:5" x14ac:dyDescent="0.25">
      <c r="A674" s="6" t="s">
        <v>19</v>
      </c>
      <c r="B674" s="6" t="s">
        <v>9</v>
      </c>
      <c r="C674" s="6">
        <v>2</v>
      </c>
      <c r="D674" s="6">
        <v>128.5</v>
      </c>
      <c r="E674">
        <v>2.82</v>
      </c>
    </row>
    <row r="675" spans="1:5" x14ac:dyDescent="0.25">
      <c r="A675" s="6" t="s">
        <v>19</v>
      </c>
      <c r="B675" s="6" t="s">
        <v>9</v>
      </c>
      <c r="C675" s="6">
        <v>2</v>
      </c>
      <c r="D675" s="6">
        <v>149.5</v>
      </c>
      <c r="E675">
        <v>3.21</v>
      </c>
    </row>
    <row r="676" spans="1:5" x14ac:dyDescent="0.25">
      <c r="A676" s="6" t="s">
        <v>19</v>
      </c>
      <c r="B676" s="6" t="s">
        <v>9</v>
      </c>
      <c r="C676" s="6">
        <v>2</v>
      </c>
      <c r="D676" s="6">
        <v>162.5</v>
      </c>
      <c r="E676">
        <v>3.22</v>
      </c>
    </row>
    <row r="677" spans="1:5" x14ac:dyDescent="0.25">
      <c r="A677" s="6" t="s">
        <v>19</v>
      </c>
      <c r="B677" s="6" t="s">
        <v>9</v>
      </c>
      <c r="C677" s="6">
        <v>2</v>
      </c>
      <c r="D677" s="6">
        <v>173</v>
      </c>
      <c r="E677">
        <v>3.28</v>
      </c>
    </row>
    <row r="678" spans="1:5" x14ac:dyDescent="0.25">
      <c r="A678" s="6" t="s">
        <v>19</v>
      </c>
      <c r="B678" s="6" t="s">
        <v>9</v>
      </c>
      <c r="C678" s="6">
        <v>3</v>
      </c>
      <c r="D678" s="6">
        <v>0</v>
      </c>
      <c r="E678">
        <v>0.2</v>
      </c>
    </row>
    <row r="679" spans="1:5" x14ac:dyDescent="0.25">
      <c r="A679" s="6" t="s">
        <v>19</v>
      </c>
      <c r="B679" s="6" t="s">
        <v>9</v>
      </c>
      <c r="C679" s="6">
        <v>3</v>
      </c>
      <c r="D679" s="6">
        <v>47</v>
      </c>
      <c r="E679">
        <v>0.56000000000000005</v>
      </c>
    </row>
    <row r="680" spans="1:5" x14ac:dyDescent="0.25">
      <c r="A680" s="6" t="s">
        <v>19</v>
      </c>
      <c r="B680" s="6" t="s">
        <v>9</v>
      </c>
      <c r="C680" s="6">
        <v>3</v>
      </c>
      <c r="D680" s="6">
        <v>56.75</v>
      </c>
      <c r="E680">
        <v>0.78</v>
      </c>
    </row>
    <row r="681" spans="1:5" x14ac:dyDescent="0.25">
      <c r="A681" s="6" t="s">
        <v>19</v>
      </c>
      <c r="B681" s="6" t="s">
        <v>9</v>
      </c>
      <c r="C681" s="6">
        <v>3</v>
      </c>
      <c r="D681" s="6">
        <v>70</v>
      </c>
      <c r="E681">
        <v>1.1299999999999999</v>
      </c>
    </row>
    <row r="682" spans="1:5" x14ac:dyDescent="0.25">
      <c r="A682" s="6" t="s">
        <v>19</v>
      </c>
      <c r="B682" s="6" t="s">
        <v>9</v>
      </c>
      <c r="C682" s="6">
        <v>3</v>
      </c>
      <c r="D682" s="6">
        <v>88.5</v>
      </c>
      <c r="E682">
        <v>1.47</v>
      </c>
    </row>
    <row r="683" spans="1:5" x14ac:dyDescent="0.25">
      <c r="A683" s="6" t="s">
        <v>19</v>
      </c>
      <c r="B683" s="6" t="s">
        <v>9</v>
      </c>
      <c r="C683" s="6">
        <v>3</v>
      </c>
      <c r="D683" s="6">
        <v>97.5</v>
      </c>
      <c r="E683">
        <v>2.83</v>
      </c>
    </row>
    <row r="684" spans="1:5" x14ac:dyDescent="0.25">
      <c r="A684" s="6" t="s">
        <v>19</v>
      </c>
      <c r="B684" s="6" t="s">
        <v>9</v>
      </c>
      <c r="C684" s="6">
        <v>3</v>
      </c>
      <c r="D684" s="6">
        <v>119</v>
      </c>
      <c r="E684">
        <v>2.7</v>
      </c>
    </row>
    <row r="685" spans="1:5" x14ac:dyDescent="0.25">
      <c r="A685" s="6" t="s">
        <v>19</v>
      </c>
      <c r="B685" s="6" t="s">
        <v>9</v>
      </c>
      <c r="C685" s="6">
        <v>3</v>
      </c>
      <c r="D685" s="6">
        <v>128.5</v>
      </c>
      <c r="E685">
        <v>2.86</v>
      </c>
    </row>
    <row r="686" spans="1:5" x14ac:dyDescent="0.25">
      <c r="A686" s="6" t="s">
        <v>19</v>
      </c>
      <c r="B686" s="6" t="s">
        <v>9</v>
      </c>
      <c r="C686" s="6">
        <v>3</v>
      </c>
      <c r="D686" s="6">
        <v>149.5</v>
      </c>
      <c r="E686">
        <v>3.16</v>
      </c>
    </row>
    <row r="687" spans="1:5" x14ac:dyDescent="0.25">
      <c r="A687" s="6" t="s">
        <v>19</v>
      </c>
      <c r="B687" s="6" t="s">
        <v>9</v>
      </c>
      <c r="C687" s="6">
        <v>3</v>
      </c>
      <c r="D687" s="6">
        <v>162.5</v>
      </c>
      <c r="E687">
        <v>3.26</v>
      </c>
    </row>
    <row r="688" spans="1:5" x14ac:dyDescent="0.25">
      <c r="A688" s="6" t="s">
        <v>19</v>
      </c>
      <c r="B688" s="6" t="s">
        <v>9</v>
      </c>
      <c r="C688" s="6">
        <v>3</v>
      </c>
      <c r="D688" s="6">
        <v>173</v>
      </c>
      <c r="E688">
        <v>3.18</v>
      </c>
    </row>
    <row r="689" spans="1:5" x14ac:dyDescent="0.25">
      <c r="A689" s="6" t="s">
        <v>20</v>
      </c>
      <c r="B689" s="6" t="s">
        <v>1</v>
      </c>
      <c r="C689" s="6">
        <v>1</v>
      </c>
      <c r="D689" s="6">
        <v>0</v>
      </c>
      <c r="E689">
        <v>0.28733999999999998</v>
      </c>
    </row>
    <row r="690" spans="1:5" x14ac:dyDescent="0.25">
      <c r="A690" s="6" t="s">
        <v>20</v>
      </c>
      <c r="B690" s="6" t="s">
        <v>1</v>
      </c>
      <c r="C690" s="6">
        <v>1</v>
      </c>
      <c r="D690" s="6">
        <v>4</v>
      </c>
      <c r="E690">
        <v>0.29814000000000002</v>
      </c>
    </row>
    <row r="691" spans="1:5" x14ac:dyDescent="0.25">
      <c r="A691" s="6" t="s">
        <v>20</v>
      </c>
      <c r="B691" s="6" t="s">
        <v>1</v>
      </c>
      <c r="C691" s="6">
        <v>1</v>
      </c>
      <c r="D691" s="6">
        <v>8</v>
      </c>
      <c r="E691">
        <v>0.29901</v>
      </c>
    </row>
    <row r="692" spans="1:5" x14ac:dyDescent="0.25">
      <c r="A692" s="6" t="s">
        <v>20</v>
      </c>
      <c r="B692" s="6" t="s">
        <v>1</v>
      </c>
      <c r="C692" s="6">
        <v>1</v>
      </c>
      <c r="D692" s="6">
        <v>12</v>
      </c>
      <c r="E692">
        <v>0.38657000000000002</v>
      </c>
    </row>
    <row r="693" spans="1:5" x14ac:dyDescent="0.25">
      <c r="A693" s="6" t="s">
        <v>20</v>
      </c>
      <c r="B693" s="6" t="s">
        <v>1</v>
      </c>
      <c r="C693" s="6">
        <v>1</v>
      </c>
      <c r="D693" s="6">
        <v>16</v>
      </c>
      <c r="E693">
        <v>0.48693999999999998</v>
      </c>
    </row>
    <row r="694" spans="1:5" x14ac:dyDescent="0.25">
      <c r="A694" s="6" t="s">
        <v>20</v>
      </c>
      <c r="B694" s="6" t="s">
        <v>1</v>
      </c>
      <c r="C694" s="6">
        <v>1</v>
      </c>
      <c r="D694" s="6">
        <v>20</v>
      </c>
      <c r="E694">
        <v>0.54690000000000005</v>
      </c>
    </row>
    <row r="695" spans="1:5" x14ac:dyDescent="0.25">
      <c r="A695" s="6" t="s">
        <v>20</v>
      </c>
      <c r="B695" s="6" t="s">
        <v>1</v>
      </c>
      <c r="C695" s="6">
        <v>1</v>
      </c>
      <c r="D695" s="6">
        <v>24</v>
      </c>
      <c r="E695">
        <v>0.57701000000000002</v>
      </c>
    </row>
    <row r="696" spans="1:5" x14ac:dyDescent="0.25">
      <c r="A696" s="6" t="s">
        <v>20</v>
      </c>
      <c r="B696" s="6" t="s">
        <v>1</v>
      </c>
      <c r="C696" s="6">
        <v>1</v>
      </c>
      <c r="D696" s="6">
        <v>28</v>
      </c>
      <c r="E696">
        <v>0.58753</v>
      </c>
    </row>
    <row r="697" spans="1:5" x14ac:dyDescent="0.25">
      <c r="A697" s="6" t="s">
        <v>20</v>
      </c>
      <c r="B697" s="6" t="s">
        <v>1</v>
      </c>
      <c r="C697" s="6">
        <v>1</v>
      </c>
      <c r="D697" s="6">
        <v>32</v>
      </c>
      <c r="E697">
        <v>0.57701000000000002</v>
      </c>
    </row>
    <row r="698" spans="1:5" x14ac:dyDescent="0.25">
      <c r="A698" s="6" t="s">
        <v>20</v>
      </c>
      <c r="B698" s="6" t="s">
        <v>1</v>
      </c>
      <c r="C698" s="6">
        <v>1</v>
      </c>
      <c r="D698" s="6">
        <v>36</v>
      </c>
      <c r="E698">
        <v>0.57320000000000004</v>
      </c>
    </row>
    <row r="699" spans="1:5" x14ac:dyDescent="0.25">
      <c r="A699" s="6" t="s">
        <v>20</v>
      </c>
      <c r="B699" s="6" t="s">
        <v>1</v>
      </c>
      <c r="C699" s="6">
        <v>1</v>
      </c>
      <c r="D699" s="6">
        <v>40</v>
      </c>
      <c r="E699">
        <v>0.57157999999999998</v>
      </c>
    </row>
    <row r="700" spans="1:5" x14ac:dyDescent="0.25">
      <c r="A700" s="6" t="s">
        <v>20</v>
      </c>
      <c r="B700" s="6" t="s">
        <v>1</v>
      </c>
      <c r="C700" s="6">
        <v>1</v>
      </c>
      <c r="D700" s="6">
        <v>44</v>
      </c>
      <c r="E700">
        <v>0.58140999999999998</v>
      </c>
    </row>
    <row r="701" spans="1:5" x14ac:dyDescent="0.25">
      <c r="A701" s="6" t="s">
        <v>20</v>
      </c>
      <c r="B701" s="6" t="s">
        <v>1</v>
      </c>
      <c r="C701" s="6">
        <v>1</v>
      </c>
      <c r="D701" s="6">
        <v>48</v>
      </c>
      <c r="E701">
        <v>0.58306999999999998</v>
      </c>
    </row>
    <row r="702" spans="1:5" x14ac:dyDescent="0.25">
      <c r="A702" s="6" t="s">
        <v>20</v>
      </c>
      <c r="B702" s="6" t="s">
        <v>1</v>
      </c>
      <c r="C702" s="6">
        <v>1</v>
      </c>
      <c r="D702" s="6">
        <v>52</v>
      </c>
      <c r="E702">
        <v>0.58196000000000003</v>
      </c>
    </row>
    <row r="703" spans="1:5" x14ac:dyDescent="0.25">
      <c r="A703" s="6" t="s">
        <v>20</v>
      </c>
      <c r="B703" s="6" t="s">
        <v>1</v>
      </c>
      <c r="C703" s="6">
        <v>1</v>
      </c>
      <c r="D703" s="6">
        <v>56</v>
      </c>
      <c r="E703">
        <v>0.56620999999999999</v>
      </c>
    </row>
    <row r="704" spans="1:5" x14ac:dyDescent="0.25">
      <c r="A704" s="6" t="s">
        <v>20</v>
      </c>
      <c r="B704" s="6" t="s">
        <v>1</v>
      </c>
      <c r="C704" s="6">
        <v>1</v>
      </c>
      <c r="D704" s="6">
        <v>60</v>
      </c>
      <c r="E704">
        <v>0.57482999999999995</v>
      </c>
    </row>
    <row r="705" spans="1:5" x14ac:dyDescent="0.25">
      <c r="A705" s="6" t="s">
        <v>20</v>
      </c>
      <c r="B705" s="6" t="s">
        <v>1</v>
      </c>
      <c r="C705" s="6">
        <v>1</v>
      </c>
      <c r="D705" s="6">
        <v>64</v>
      </c>
      <c r="E705">
        <v>0.58140999999999998</v>
      </c>
    </row>
    <row r="706" spans="1:5" x14ac:dyDescent="0.25">
      <c r="A706" s="6" t="s">
        <v>20</v>
      </c>
      <c r="B706" s="6" t="s">
        <v>1</v>
      </c>
      <c r="C706" s="6">
        <v>2</v>
      </c>
      <c r="D706" s="6">
        <v>0</v>
      </c>
      <c r="E706">
        <v>0.21929000000000001</v>
      </c>
    </row>
    <row r="707" spans="1:5" x14ac:dyDescent="0.25">
      <c r="A707" s="6" t="s">
        <v>20</v>
      </c>
      <c r="B707" s="6" t="s">
        <v>1</v>
      </c>
      <c r="C707" s="6">
        <v>2</v>
      </c>
      <c r="D707" s="6">
        <v>4</v>
      </c>
      <c r="E707">
        <v>0.25358999999999998</v>
      </c>
    </row>
    <row r="708" spans="1:5" x14ac:dyDescent="0.25">
      <c r="A708" s="6" t="s">
        <v>20</v>
      </c>
      <c r="B708" s="6" t="s">
        <v>1</v>
      </c>
      <c r="C708" s="6">
        <v>2</v>
      </c>
      <c r="D708" s="6">
        <v>8</v>
      </c>
      <c r="E708">
        <v>0.34103</v>
      </c>
    </row>
    <row r="709" spans="1:5" x14ac:dyDescent="0.25">
      <c r="A709" s="6" t="s">
        <v>20</v>
      </c>
      <c r="B709" s="6" t="s">
        <v>1</v>
      </c>
      <c r="C709" s="6">
        <v>2</v>
      </c>
      <c r="D709" s="6">
        <v>12</v>
      </c>
      <c r="E709">
        <v>0.47770000000000001</v>
      </c>
    </row>
    <row r="710" spans="1:5" x14ac:dyDescent="0.25">
      <c r="A710" s="6" t="s">
        <v>20</v>
      </c>
      <c r="B710" s="6" t="s">
        <v>1</v>
      </c>
      <c r="C710" s="6">
        <v>2</v>
      </c>
      <c r="D710" s="6">
        <v>16</v>
      </c>
      <c r="E710">
        <v>0.65927999999999998</v>
      </c>
    </row>
    <row r="711" spans="1:5" x14ac:dyDescent="0.25">
      <c r="A711" s="6" t="s">
        <v>20</v>
      </c>
      <c r="B711" s="6" t="s">
        <v>1</v>
      </c>
      <c r="C711" s="6">
        <v>2</v>
      </c>
      <c r="D711" s="6">
        <v>20</v>
      </c>
      <c r="E711">
        <v>0.78710999999999998</v>
      </c>
    </row>
    <row r="712" spans="1:5" x14ac:dyDescent="0.25">
      <c r="A712" s="6" t="s">
        <v>20</v>
      </c>
      <c r="B712" s="6" t="s">
        <v>1</v>
      </c>
      <c r="C712" s="6">
        <v>2</v>
      </c>
      <c r="D712" s="6">
        <v>24</v>
      </c>
      <c r="E712">
        <v>0.88002999999999998</v>
      </c>
    </row>
    <row r="713" spans="1:5" x14ac:dyDescent="0.25">
      <c r="A713" s="6" t="s">
        <v>20</v>
      </c>
      <c r="B713" s="6" t="s">
        <v>1</v>
      </c>
      <c r="C713" s="6">
        <v>2</v>
      </c>
      <c r="D713" s="6">
        <v>28</v>
      </c>
      <c r="E713">
        <v>0.88558000000000003</v>
      </c>
    </row>
    <row r="714" spans="1:5" x14ac:dyDescent="0.25">
      <c r="A714" s="6" t="s">
        <v>20</v>
      </c>
      <c r="B714" s="6" t="s">
        <v>1</v>
      </c>
      <c r="C714" s="6">
        <v>2</v>
      </c>
      <c r="D714" s="6">
        <v>32</v>
      </c>
      <c r="E714">
        <v>0.88446000000000002</v>
      </c>
    </row>
    <row r="715" spans="1:5" x14ac:dyDescent="0.25">
      <c r="A715" s="6" t="s">
        <v>20</v>
      </c>
      <c r="B715" s="6" t="s">
        <v>1</v>
      </c>
      <c r="C715" s="6">
        <v>2</v>
      </c>
      <c r="D715" s="6">
        <v>36</v>
      </c>
      <c r="E715">
        <v>0.88780999999999999</v>
      </c>
    </row>
    <row r="716" spans="1:5" x14ac:dyDescent="0.25">
      <c r="A716" s="6" t="s">
        <v>20</v>
      </c>
      <c r="B716" s="6" t="s">
        <v>1</v>
      </c>
      <c r="C716" s="6">
        <v>2</v>
      </c>
      <c r="D716" s="6">
        <v>40</v>
      </c>
      <c r="E716">
        <v>0.88893999999999995</v>
      </c>
    </row>
    <row r="717" spans="1:5" x14ac:dyDescent="0.25">
      <c r="A717" s="6" t="s">
        <v>20</v>
      </c>
      <c r="B717" s="6" t="s">
        <v>1</v>
      </c>
      <c r="C717" s="6">
        <v>2</v>
      </c>
      <c r="D717" s="6">
        <v>44</v>
      </c>
      <c r="E717">
        <v>0.89232999999999996</v>
      </c>
    </row>
    <row r="718" spans="1:5" x14ac:dyDescent="0.25">
      <c r="A718" s="6" t="s">
        <v>20</v>
      </c>
      <c r="B718" s="6" t="s">
        <v>1</v>
      </c>
      <c r="C718" s="6">
        <v>2</v>
      </c>
      <c r="D718" s="6">
        <v>48</v>
      </c>
      <c r="E718">
        <v>0.89573999999999998</v>
      </c>
    </row>
    <row r="719" spans="1:5" x14ac:dyDescent="0.25">
      <c r="A719" s="6" t="s">
        <v>20</v>
      </c>
      <c r="B719" s="6" t="s">
        <v>1</v>
      </c>
      <c r="C719" s="6">
        <v>2</v>
      </c>
      <c r="D719" s="6">
        <v>52</v>
      </c>
      <c r="E719">
        <v>0.89917999999999998</v>
      </c>
    </row>
    <row r="720" spans="1:5" x14ac:dyDescent="0.25">
      <c r="A720" s="6" t="s">
        <v>20</v>
      </c>
      <c r="B720" s="6" t="s">
        <v>1</v>
      </c>
      <c r="C720" s="6">
        <v>2</v>
      </c>
      <c r="D720" s="6">
        <v>56</v>
      </c>
      <c r="E720">
        <v>0.89917999999999998</v>
      </c>
    </row>
    <row r="721" spans="1:5" x14ac:dyDescent="0.25">
      <c r="A721" s="6" t="s">
        <v>20</v>
      </c>
      <c r="B721" s="6" t="s">
        <v>1</v>
      </c>
      <c r="C721" s="6">
        <v>2</v>
      </c>
      <c r="D721" s="6">
        <v>60</v>
      </c>
      <c r="E721">
        <v>0.89346000000000003</v>
      </c>
    </row>
    <row r="722" spans="1:5" x14ac:dyDescent="0.25">
      <c r="A722" s="6" t="s">
        <v>20</v>
      </c>
      <c r="B722" s="6" t="s">
        <v>1</v>
      </c>
      <c r="C722" s="6">
        <v>2</v>
      </c>
      <c r="D722" s="6">
        <v>64</v>
      </c>
      <c r="E722">
        <v>0.88112999999999997</v>
      </c>
    </row>
    <row r="723" spans="1:5" x14ac:dyDescent="0.25">
      <c r="A723" s="6" t="s">
        <v>20</v>
      </c>
      <c r="B723" s="6" t="s">
        <v>1</v>
      </c>
      <c r="C723" s="6">
        <v>3</v>
      </c>
      <c r="D723" s="6">
        <v>0</v>
      </c>
      <c r="E723">
        <v>0.31297999999999998</v>
      </c>
    </row>
    <row r="724" spans="1:5" x14ac:dyDescent="0.25">
      <c r="A724" s="6" t="s">
        <v>20</v>
      </c>
      <c r="B724" s="6" t="s">
        <v>1</v>
      </c>
      <c r="C724" s="6">
        <v>3</v>
      </c>
      <c r="D724" s="6">
        <v>4</v>
      </c>
      <c r="E724">
        <v>0.31537999999999999</v>
      </c>
    </row>
    <row r="725" spans="1:5" x14ac:dyDescent="0.25">
      <c r="A725" s="6" t="s">
        <v>20</v>
      </c>
      <c r="B725" s="6" t="s">
        <v>1</v>
      </c>
      <c r="C725" s="6">
        <v>3</v>
      </c>
      <c r="D725" s="6">
        <v>8</v>
      </c>
      <c r="E725">
        <v>0.39504</v>
      </c>
    </row>
    <row r="726" spans="1:5" x14ac:dyDescent="0.25">
      <c r="A726" s="6" t="s">
        <v>20</v>
      </c>
      <c r="B726" s="6" t="s">
        <v>1</v>
      </c>
      <c r="C726" s="6">
        <v>3</v>
      </c>
      <c r="D726" s="6">
        <v>12</v>
      </c>
      <c r="E726">
        <v>0.51068000000000002</v>
      </c>
    </row>
    <row r="727" spans="1:5" x14ac:dyDescent="0.25">
      <c r="A727" s="6" t="s">
        <v>20</v>
      </c>
      <c r="B727" s="6" t="s">
        <v>1</v>
      </c>
      <c r="C727" s="6">
        <v>3</v>
      </c>
      <c r="D727" s="6">
        <v>16</v>
      </c>
      <c r="E727">
        <v>0.64886999999999995</v>
      </c>
    </row>
    <row r="728" spans="1:5" x14ac:dyDescent="0.25">
      <c r="A728" s="6" t="s">
        <v>20</v>
      </c>
      <c r="B728" s="6" t="s">
        <v>1</v>
      </c>
      <c r="C728" s="6">
        <v>3</v>
      </c>
      <c r="D728" s="6">
        <v>20</v>
      </c>
      <c r="E728">
        <v>0.68325000000000002</v>
      </c>
    </row>
    <row r="729" spans="1:5" x14ac:dyDescent="0.25">
      <c r="A729" s="6" t="s">
        <v>20</v>
      </c>
      <c r="B729" s="6" t="s">
        <v>1</v>
      </c>
      <c r="C729" s="6">
        <v>3</v>
      </c>
      <c r="D729" s="6">
        <v>24</v>
      </c>
      <c r="E729">
        <v>0.69462999999999997</v>
      </c>
    </row>
    <row r="730" spans="1:5" x14ac:dyDescent="0.25">
      <c r="A730" s="6" t="s">
        <v>20</v>
      </c>
      <c r="B730" s="6" t="s">
        <v>1</v>
      </c>
      <c r="C730" s="6">
        <v>3</v>
      </c>
      <c r="D730" s="6">
        <v>28</v>
      </c>
      <c r="E730">
        <v>0.67079999999999995</v>
      </c>
    </row>
    <row r="731" spans="1:5" x14ac:dyDescent="0.25">
      <c r="A731" s="6" t="s">
        <v>20</v>
      </c>
      <c r="B731" s="6" t="s">
        <v>1</v>
      </c>
      <c r="C731" s="6">
        <v>3</v>
      </c>
      <c r="D731" s="6">
        <v>32</v>
      </c>
      <c r="E731">
        <v>0.68677999999999995</v>
      </c>
    </row>
    <row r="732" spans="1:5" x14ac:dyDescent="0.25">
      <c r="A732" s="6" t="s">
        <v>20</v>
      </c>
      <c r="B732" s="6" t="s">
        <v>1</v>
      </c>
      <c r="C732" s="6">
        <v>3</v>
      </c>
      <c r="D732" s="6">
        <v>36</v>
      </c>
      <c r="E732">
        <v>0.68606999999999996</v>
      </c>
    </row>
    <row r="733" spans="1:5" x14ac:dyDescent="0.25">
      <c r="A733" s="6" t="s">
        <v>20</v>
      </c>
      <c r="B733" s="6" t="s">
        <v>1</v>
      </c>
      <c r="C733" s="6">
        <v>3</v>
      </c>
      <c r="D733" s="6">
        <v>40</v>
      </c>
      <c r="E733">
        <v>0.69462999999999997</v>
      </c>
    </row>
    <row r="734" spans="1:5" x14ac:dyDescent="0.25">
      <c r="A734" s="6" t="s">
        <v>20</v>
      </c>
      <c r="B734" s="6" t="s">
        <v>1</v>
      </c>
      <c r="C734" s="6">
        <v>3</v>
      </c>
      <c r="D734" s="6">
        <v>44</v>
      </c>
      <c r="E734">
        <v>0.69679000000000002</v>
      </c>
    </row>
    <row r="735" spans="1:5" x14ac:dyDescent="0.25">
      <c r="A735" s="6" t="s">
        <v>20</v>
      </c>
      <c r="B735" s="6" t="s">
        <v>1</v>
      </c>
      <c r="C735" s="6">
        <v>3</v>
      </c>
      <c r="D735" s="6">
        <v>48</v>
      </c>
      <c r="E735">
        <v>0.70262000000000002</v>
      </c>
    </row>
    <row r="736" spans="1:5" x14ac:dyDescent="0.25">
      <c r="A736" s="6" t="s">
        <v>20</v>
      </c>
      <c r="B736" s="6" t="s">
        <v>1</v>
      </c>
      <c r="C736" s="6">
        <v>3</v>
      </c>
      <c r="D736" s="6">
        <v>52</v>
      </c>
      <c r="E736">
        <v>0.68818999999999997</v>
      </c>
    </row>
    <row r="737" spans="1:5" x14ac:dyDescent="0.25">
      <c r="A737" s="6" t="s">
        <v>20</v>
      </c>
      <c r="B737" s="6" t="s">
        <v>1</v>
      </c>
      <c r="C737" s="6">
        <v>3</v>
      </c>
      <c r="D737" s="6">
        <v>56</v>
      </c>
      <c r="E737">
        <v>0.69823999999999997</v>
      </c>
    </row>
    <row r="738" spans="1:5" x14ac:dyDescent="0.25">
      <c r="A738" s="6" t="s">
        <v>20</v>
      </c>
      <c r="B738" s="6" t="s">
        <v>1</v>
      </c>
      <c r="C738" s="6">
        <v>3</v>
      </c>
      <c r="D738" s="6">
        <v>60</v>
      </c>
      <c r="E738">
        <v>0.70557000000000003</v>
      </c>
    </row>
    <row r="739" spans="1:5" x14ac:dyDescent="0.25">
      <c r="A739" s="6" t="s">
        <v>20</v>
      </c>
      <c r="B739" s="6" t="s">
        <v>1</v>
      </c>
      <c r="C739" s="6">
        <v>3</v>
      </c>
      <c r="D739" s="6">
        <v>64</v>
      </c>
      <c r="E739">
        <v>0.71755000000000002</v>
      </c>
    </row>
  </sheetData>
  <autoFilter ref="A1:E655" xr:uid="{669792A2-A34A-4A4C-A612-D963EF296CF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3E0A-C6B4-4CFB-AB28-DE6C0C1EA064}">
  <dimension ref="A1:AH397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5" x14ac:dyDescent="0.25"/>
  <cols>
    <col min="1" max="1" width="9.5703125" style="6" bestFit="1" customWidth="1"/>
    <col min="2" max="2" width="10" bestFit="1" customWidth="1"/>
    <col min="3" max="3" width="10.140625" style="6" bestFit="1" customWidth="1"/>
    <col min="4" max="4" width="9.140625" style="6"/>
  </cols>
  <sheetData>
    <row r="1" spans="1:26" x14ac:dyDescent="0.25">
      <c r="A1" s="6" t="s">
        <v>13</v>
      </c>
      <c r="B1" t="s">
        <v>15</v>
      </c>
      <c r="C1" s="6" t="s">
        <v>14</v>
      </c>
      <c r="D1" s="6" t="s">
        <v>3</v>
      </c>
      <c r="E1" t="s">
        <v>12</v>
      </c>
    </row>
    <row r="2" spans="1:26" x14ac:dyDescent="0.25">
      <c r="A2" s="6" t="s">
        <v>16</v>
      </c>
      <c r="B2" s="6" t="s">
        <v>9</v>
      </c>
      <c r="C2" s="6">
        <v>1</v>
      </c>
      <c r="D2">
        <v>0</v>
      </c>
      <c r="E2">
        <v>0.23073813215200001</v>
      </c>
      <c r="H2" s="8"/>
      <c r="I2" s="6"/>
      <c r="J2" s="6"/>
      <c r="O2" s="8"/>
      <c r="P2" s="7"/>
      <c r="Q2" s="7"/>
      <c r="R2" s="7"/>
      <c r="S2" s="8"/>
      <c r="T2" s="7"/>
      <c r="U2" s="7"/>
      <c r="V2" s="7"/>
      <c r="W2" s="8"/>
      <c r="X2" s="7"/>
      <c r="Y2" s="7"/>
      <c r="Z2" s="7"/>
    </row>
    <row r="3" spans="1:26" x14ac:dyDescent="0.25">
      <c r="A3" s="6" t="s">
        <v>16</v>
      </c>
      <c r="B3" s="6" t="s">
        <v>9</v>
      </c>
      <c r="C3" s="6">
        <v>1</v>
      </c>
      <c r="D3">
        <v>24</v>
      </c>
      <c r="E3">
        <v>0.33564053215200002</v>
      </c>
      <c r="H3" s="8"/>
      <c r="I3" s="6"/>
      <c r="J3" s="6"/>
      <c r="K3" s="17"/>
    </row>
    <row r="4" spans="1:26" x14ac:dyDescent="0.25">
      <c r="A4" s="6" t="s">
        <v>16</v>
      </c>
      <c r="B4" s="6" t="s">
        <v>9</v>
      </c>
      <c r="C4" s="6">
        <v>1</v>
      </c>
      <c r="D4">
        <v>48</v>
      </c>
      <c r="E4">
        <v>0.311186932152</v>
      </c>
      <c r="H4" s="8"/>
      <c r="I4" s="6"/>
      <c r="J4" s="6"/>
      <c r="K4" s="17"/>
    </row>
    <row r="5" spans="1:26" x14ac:dyDescent="0.25">
      <c r="A5" s="6" t="s">
        <v>16</v>
      </c>
      <c r="B5" s="6" t="s">
        <v>9</v>
      </c>
      <c r="C5" s="6">
        <v>1</v>
      </c>
      <c r="D5">
        <v>72</v>
      </c>
      <c r="E5">
        <v>0.34201973215200004</v>
      </c>
      <c r="H5" s="8"/>
      <c r="I5" s="6"/>
      <c r="J5" s="6"/>
      <c r="K5" s="17"/>
      <c r="O5" s="17"/>
      <c r="S5" s="17"/>
      <c r="W5" s="17"/>
    </row>
    <row r="6" spans="1:26" x14ac:dyDescent="0.25">
      <c r="A6" s="6" t="s">
        <v>16</v>
      </c>
      <c r="B6" s="6" t="s">
        <v>9</v>
      </c>
      <c r="C6" s="6">
        <v>1</v>
      </c>
      <c r="D6">
        <v>96</v>
      </c>
      <c r="E6">
        <v>1.3616285321520001</v>
      </c>
      <c r="H6" s="8"/>
      <c r="I6" s="6"/>
      <c r="J6" s="6"/>
      <c r="K6" s="17"/>
      <c r="O6" s="17"/>
      <c r="S6" s="17"/>
      <c r="W6" s="17"/>
    </row>
    <row r="7" spans="1:26" x14ac:dyDescent="0.25">
      <c r="A7" s="6" t="s">
        <v>16</v>
      </c>
      <c r="B7" s="6" t="s">
        <v>9</v>
      </c>
      <c r="C7" s="6">
        <v>1</v>
      </c>
      <c r="D7">
        <v>120</v>
      </c>
      <c r="E7">
        <v>1.3595258643039998</v>
      </c>
      <c r="H7" s="8"/>
      <c r="I7" s="6"/>
      <c r="J7" s="6"/>
      <c r="K7" s="17"/>
      <c r="O7" s="17"/>
      <c r="S7" s="17"/>
      <c r="W7" s="17"/>
    </row>
    <row r="8" spans="1:26" x14ac:dyDescent="0.25">
      <c r="A8" s="6" t="s">
        <v>16</v>
      </c>
      <c r="B8" s="6" t="s">
        <v>9</v>
      </c>
      <c r="C8" s="6">
        <v>1</v>
      </c>
      <c r="D8">
        <v>144</v>
      </c>
      <c r="E8">
        <v>1.8524725321520001</v>
      </c>
      <c r="H8" s="8"/>
      <c r="I8" s="6"/>
      <c r="J8" s="6"/>
      <c r="K8" s="17"/>
      <c r="O8" s="17"/>
      <c r="S8" s="17"/>
      <c r="W8" s="17"/>
    </row>
    <row r="9" spans="1:26" x14ac:dyDescent="0.25">
      <c r="A9" s="6" t="s">
        <v>16</v>
      </c>
      <c r="B9" s="6" t="s">
        <v>9</v>
      </c>
      <c r="C9" s="6">
        <v>1</v>
      </c>
      <c r="D9">
        <v>168</v>
      </c>
      <c r="E9">
        <v>1.383246932152</v>
      </c>
      <c r="H9" s="8"/>
      <c r="I9" s="6"/>
      <c r="J9" s="6"/>
      <c r="K9" s="17"/>
      <c r="O9" s="17"/>
      <c r="S9" s="17"/>
      <c r="W9" s="17"/>
    </row>
    <row r="10" spans="1:26" x14ac:dyDescent="0.25">
      <c r="A10" s="6" t="s">
        <v>16</v>
      </c>
      <c r="B10" s="6" t="s">
        <v>9</v>
      </c>
      <c r="C10" s="6">
        <v>1</v>
      </c>
      <c r="D10">
        <v>192</v>
      </c>
      <c r="E10">
        <v>1.5448533321519999</v>
      </c>
      <c r="H10" s="8"/>
      <c r="I10" s="6"/>
      <c r="J10" s="6"/>
      <c r="K10" s="17"/>
      <c r="O10" s="17"/>
      <c r="S10" s="17"/>
      <c r="W10" s="17"/>
    </row>
    <row r="11" spans="1:26" x14ac:dyDescent="0.25">
      <c r="A11" s="6" t="s">
        <v>16</v>
      </c>
      <c r="B11" s="6" t="s">
        <v>9</v>
      </c>
      <c r="C11" s="6">
        <v>1</v>
      </c>
      <c r="D11">
        <v>216</v>
      </c>
      <c r="E11">
        <v>1.2879133321520002</v>
      </c>
      <c r="H11" s="8"/>
      <c r="I11" s="6"/>
      <c r="J11" s="6"/>
      <c r="O11" s="17"/>
      <c r="S11" s="17"/>
      <c r="W11" s="17"/>
    </row>
    <row r="12" spans="1:26" x14ac:dyDescent="0.25">
      <c r="A12" s="6" t="s">
        <v>16</v>
      </c>
      <c r="B12" s="6" t="s">
        <v>9</v>
      </c>
      <c r="C12" s="6">
        <v>1</v>
      </c>
      <c r="D12">
        <v>240</v>
      </c>
      <c r="E12">
        <v>1.414434132152</v>
      </c>
      <c r="H12" s="8"/>
      <c r="I12" s="6"/>
      <c r="J12" s="6"/>
      <c r="K12" s="17"/>
      <c r="O12" s="17"/>
      <c r="S12" s="17"/>
      <c r="W12" s="17"/>
    </row>
    <row r="13" spans="1:26" x14ac:dyDescent="0.25">
      <c r="A13" s="6" t="s">
        <v>16</v>
      </c>
      <c r="B13" s="6" t="s">
        <v>9</v>
      </c>
      <c r="C13" s="6">
        <v>1</v>
      </c>
      <c r="D13">
        <v>264</v>
      </c>
      <c r="E13">
        <v>1.2801165321520001</v>
      </c>
      <c r="H13" s="8"/>
      <c r="I13" s="6"/>
      <c r="J13" s="6"/>
      <c r="K13" s="17"/>
    </row>
    <row r="14" spans="1:26" x14ac:dyDescent="0.25">
      <c r="A14" s="6" t="s">
        <v>16</v>
      </c>
      <c r="B14" s="6" t="s">
        <v>9</v>
      </c>
      <c r="C14" s="6">
        <v>1</v>
      </c>
      <c r="D14">
        <v>288</v>
      </c>
      <c r="E14">
        <v>1.242904532152</v>
      </c>
      <c r="H14" s="8"/>
      <c r="I14" s="6"/>
      <c r="J14" s="6"/>
      <c r="K14" s="17"/>
    </row>
    <row r="15" spans="1:26" x14ac:dyDescent="0.25">
      <c r="A15" s="6" t="s">
        <v>16</v>
      </c>
      <c r="B15" s="6" t="s">
        <v>9</v>
      </c>
      <c r="C15" s="6">
        <v>2</v>
      </c>
      <c r="D15">
        <v>0</v>
      </c>
      <c r="E15">
        <v>0.26227973215199996</v>
      </c>
      <c r="H15" s="8"/>
      <c r="I15" s="6"/>
      <c r="J15" s="6"/>
      <c r="K15" s="17"/>
    </row>
    <row r="16" spans="1:26" x14ac:dyDescent="0.25">
      <c r="A16" s="6" t="s">
        <v>16</v>
      </c>
      <c r="B16" s="6" t="s">
        <v>9</v>
      </c>
      <c r="C16" s="6">
        <v>2</v>
      </c>
      <c r="D16">
        <v>24</v>
      </c>
      <c r="E16">
        <v>0.26546933215200003</v>
      </c>
      <c r="H16" s="8"/>
      <c r="I16" s="6"/>
      <c r="J16" s="6"/>
      <c r="K16" s="17"/>
    </row>
    <row r="17" spans="1:34" x14ac:dyDescent="0.25">
      <c r="A17" s="6" t="s">
        <v>16</v>
      </c>
      <c r="B17" s="6" t="s">
        <v>9</v>
      </c>
      <c r="C17" s="6">
        <v>2</v>
      </c>
      <c r="D17">
        <v>48</v>
      </c>
      <c r="E17">
        <v>0.25164773215199998</v>
      </c>
      <c r="H17" s="8"/>
      <c r="I17" s="6"/>
      <c r="J17" s="6"/>
      <c r="K17" s="17"/>
    </row>
    <row r="18" spans="1:34" x14ac:dyDescent="0.25">
      <c r="A18" s="6" t="s">
        <v>16</v>
      </c>
      <c r="B18" s="6" t="s">
        <v>9</v>
      </c>
      <c r="C18" s="6">
        <v>2</v>
      </c>
      <c r="D18">
        <v>72</v>
      </c>
      <c r="E18">
        <v>0.36186613215199998</v>
      </c>
      <c r="H18" s="8"/>
      <c r="I18" s="6"/>
      <c r="J18" s="6"/>
      <c r="K18" s="17"/>
    </row>
    <row r="19" spans="1:34" x14ac:dyDescent="0.25">
      <c r="A19" s="6" t="s">
        <v>16</v>
      </c>
      <c r="B19" s="6" t="s">
        <v>9</v>
      </c>
      <c r="C19" s="6">
        <v>2</v>
      </c>
      <c r="D19">
        <v>96</v>
      </c>
      <c r="E19">
        <v>1.3105949321520001</v>
      </c>
      <c r="H19" s="8"/>
      <c r="I19" s="6"/>
      <c r="J19" s="6"/>
      <c r="K19" s="17"/>
    </row>
    <row r="20" spans="1:34" x14ac:dyDescent="0.25">
      <c r="A20" s="6" t="s">
        <v>16</v>
      </c>
      <c r="B20" s="6" t="s">
        <v>9</v>
      </c>
      <c r="C20" s="6">
        <v>2</v>
      </c>
      <c r="D20">
        <v>120</v>
      </c>
      <c r="E20">
        <v>1.407724264304</v>
      </c>
      <c r="H20" s="8"/>
      <c r="I20" s="6"/>
      <c r="J20" s="6"/>
    </row>
    <row r="21" spans="1:34" x14ac:dyDescent="0.25">
      <c r="A21" s="6" t="s">
        <v>16</v>
      </c>
      <c r="B21" s="6" t="s">
        <v>9</v>
      </c>
      <c r="C21" s="6">
        <v>2</v>
      </c>
      <c r="D21">
        <v>144</v>
      </c>
      <c r="E21">
        <v>1.7649357321520003</v>
      </c>
      <c r="H21" s="8"/>
      <c r="I21" s="6"/>
      <c r="J21" s="6"/>
      <c r="K21" s="17"/>
    </row>
    <row r="22" spans="1:34" x14ac:dyDescent="0.25">
      <c r="A22" s="6" t="s">
        <v>16</v>
      </c>
      <c r="B22" s="6" t="s">
        <v>9</v>
      </c>
      <c r="C22" s="6">
        <v>2</v>
      </c>
      <c r="D22">
        <v>168</v>
      </c>
      <c r="E22">
        <v>1.3988405321520001</v>
      </c>
      <c r="H22" s="8"/>
      <c r="I22" s="6"/>
      <c r="J22" s="6"/>
      <c r="K22" s="17"/>
      <c r="O22" s="8"/>
      <c r="P22" s="7"/>
      <c r="Q22" s="7"/>
      <c r="R22" s="7"/>
      <c r="S22" s="8"/>
      <c r="T22" s="7"/>
      <c r="U22" s="7"/>
      <c r="V22" s="7"/>
      <c r="W22" s="8"/>
      <c r="X22" s="7"/>
      <c r="Y22" s="7"/>
      <c r="Z22" s="7"/>
      <c r="AA22" s="8"/>
      <c r="AB22" s="7"/>
      <c r="AC22" s="7"/>
      <c r="AD22" s="7"/>
      <c r="AE22" s="8"/>
      <c r="AF22" s="7"/>
      <c r="AG22" s="7"/>
      <c r="AH22" s="7"/>
    </row>
    <row r="23" spans="1:34" x14ac:dyDescent="0.25">
      <c r="A23" s="6" t="s">
        <v>16</v>
      </c>
      <c r="B23" s="6" t="s">
        <v>9</v>
      </c>
      <c r="C23" s="6">
        <v>2</v>
      </c>
      <c r="D23">
        <v>192</v>
      </c>
      <c r="E23">
        <v>1.5955325321520002</v>
      </c>
      <c r="H23" s="8"/>
      <c r="I23" s="6"/>
      <c r="J23" s="6"/>
      <c r="K23" s="17"/>
    </row>
    <row r="24" spans="1:34" x14ac:dyDescent="0.25">
      <c r="A24" s="6" t="s">
        <v>16</v>
      </c>
      <c r="B24" s="6" t="s">
        <v>9</v>
      </c>
      <c r="C24" s="6">
        <v>2</v>
      </c>
      <c r="D24">
        <v>216</v>
      </c>
      <c r="E24">
        <v>1.2662949321520001</v>
      </c>
      <c r="H24" s="8"/>
      <c r="I24" s="6"/>
      <c r="J24" s="6"/>
      <c r="K24" s="17"/>
    </row>
    <row r="25" spans="1:34" x14ac:dyDescent="0.25">
      <c r="A25" s="6" t="s">
        <v>16</v>
      </c>
      <c r="B25" s="6" t="s">
        <v>9</v>
      </c>
      <c r="C25" s="6">
        <v>2</v>
      </c>
      <c r="D25">
        <v>240</v>
      </c>
      <c r="E25">
        <v>1.4842509321520001</v>
      </c>
      <c r="H25" s="8"/>
      <c r="I25" s="6"/>
      <c r="J25" s="6"/>
      <c r="K25" s="17"/>
      <c r="O25" s="17"/>
      <c r="P25" s="11"/>
      <c r="Q25" s="11"/>
      <c r="R25" s="11"/>
      <c r="S25" s="17"/>
      <c r="T25" s="11"/>
      <c r="U25" s="11"/>
      <c r="V25" s="11"/>
      <c r="W25" s="17"/>
      <c r="X25" s="11"/>
      <c r="Y25" s="11"/>
      <c r="Z25" s="11"/>
      <c r="AA25" s="17"/>
      <c r="AB25" s="11"/>
      <c r="AC25" s="11"/>
      <c r="AD25" s="11"/>
      <c r="AE25" s="17"/>
    </row>
    <row r="26" spans="1:34" x14ac:dyDescent="0.25">
      <c r="A26" s="6" t="s">
        <v>16</v>
      </c>
      <c r="B26" s="6" t="s">
        <v>9</v>
      </c>
      <c r="C26" s="6">
        <v>2</v>
      </c>
      <c r="D26">
        <v>264</v>
      </c>
      <c r="E26">
        <v>1.365881332152</v>
      </c>
      <c r="H26" s="8"/>
      <c r="I26" s="6"/>
      <c r="J26" s="6"/>
      <c r="K26" s="17"/>
      <c r="O26" s="17"/>
      <c r="P26" s="11"/>
      <c r="Q26" s="11"/>
      <c r="R26" s="11"/>
      <c r="S26" s="17"/>
      <c r="T26" s="11"/>
      <c r="U26" s="11"/>
      <c r="V26" s="11"/>
      <c r="W26" s="17"/>
      <c r="X26" s="11"/>
      <c r="Y26" s="11"/>
      <c r="Z26" s="11"/>
      <c r="AA26" s="17"/>
      <c r="AB26" s="11"/>
      <c r="AC26" s="11"/>
      <c r="AD26" s="11"/>
      <c r="AE26" s="17"/>
    </row>
    <row r="27" spans="1:34" x14ac:dyDescent="0.25">
      <c r="A27" s="6" t="s">
        <v>16</v>
      </c>
      <c r="B27" s="6" t="s">
        <v>9</v>
      </c>
      <c r="C27" s="6">
        <v>2</v>
      </c>
      <c r="D27">
        <v>288</v>
      </c>
      <c r="E27">
        <v>1.1656453321520002</v>
      </c>
      <c r="H27" s="8"/>
      <c r="I27" s="6"/>
      <c r="J27" s="6"/>
      <c r="K27" s="17"/>
      <c r="O27" s="17"/>
      <c r="P27" s="11"/>
      <c r="Q27" s="11"/>
      <c r="R27" s="11"/>
      <c r="S27" s="17"/>
      <c r="T27" s="11"/>
      <c r="U27" s="11"/>
      <c r="V27" s="11"/>
      <c r="W27" s="17"/>
      <c r="X27" s="11"/>
      <c r="Y27" s="11"/>
      <c r="Z27" s="11"/>
      <c r="AA27" s="17"/>
      <c r="AB27" s="11"/>
      <c r="AC27" s="11"/>
      <c r="AD27" s="11"/>
      <c r="AE27" s="17"/>
    </row>
    <row r="28" spans="1:34" x14ac:dyDescent="0.25">
      <c r="A28" s="6" t="s">
        <v>16</v>
      </c>
      <c r="B28" s="6" t="s">
        <v>9</v>
      </c>
      <c r="C28" s="6">
        <v>3</v>
      </c>
      <c r="D28">
        <v>0</v>
      </c>
      <c r="E28">
        <v>0.29275813215200003</v>
      </c>
      <c r="H28" s="8"/>
      <c r="I28" s="6"/>
      <c r="J28" s="6"/>
      <c r="K28" s="17"/>
      <c r="O28" s="17"/>
      <c r="P28" s="11"/>
      <c r="Q28" s="11"/>
      <c r="R28" s="11"/>
      <c r="S28" s="17"/>
      <c r="T28" s="11"/>
      <c r="U28" s="11"/>
      <c r="V28" s="11"/>
      <c r="W28" s="17"/>
      <c r="X28" s="11"/>
      <c r="Y28" s="11"/>
      <c r="Z28" s="11"/>
      <c r="AA28" s="17"/>
      <c r="AB28" s="11"/>
      <c r="AC28" s="11"/>
      <c r="AD28" s="11"/>
      <c r="AE28" s="17"/>
    </row>
    <row r="29" spans="1:34" x14ac:dyDescent="0.25">
      <c r="A29" s="6" t="s">
        <v>16</v>
      </c>
      <c r="B29" s="6" t="s">
        <v>9</v>
      </c>
      <c r="C29" s="6">
        <v>3</v>
      </c>
      <c r="D29">
        <v>24</v>
      </c>
      <c r="E29">
        <v>0.230029332152</v>
      </c>
      <c r="O29" s="17"/>
      <c r="P29" s="11"/>
      <c r="Q29" s="11"/>
      <c r="R29" s="11"/>
      <c r="S29" s="17"/>
      <c r="T29" s="11"/>
      <c r="U29" s="11"/>
      <c r="V29" s="11"/>
      <c r="W29" s="17"/>
      <c r="X29" s="11"/>
      <c r="Y29" s="11"/>
      <c r="Z29" s="11"/>
      <c r="AA29" s="17"/>
      <c r="AB29" s="11"/>
      <c r="AC29" s="11"/>
      <c r="AD29" s="11"/>
      <c r="AE29" s="17"/>
    </row>
    <row r="30" spans="1:34" x14ac:dyDescent="0.25">
      <c r="A30" s="6" t="s">
        <v>16</v>
      </c>
      <c r="B30" s="6" t="s">
        <v>9</v>
      </c>
      <c r="C30" s="6">
        <v>3</v>
      </c>
      <c r="D30">
        <v>48</v>
      </c>
      <c r="E30">
        <v>0.43699893215200003</v>
      </c>
      <c r="O30" s="17"/>
      <c r="P30" s="11"/>
      <c r="Q30" s="11"/>
      <c r="R30" s="11"/>
      <c r="S30" s="17"/>
      <c r="T30" s="11"/>
      <c r="U30" s="11"/>
      <c r="V30" s="11"/>
      <c r="W30" s="17"/>
      <c r="X30" s="11"/>
      <c r="Y30" s="11"/>
      <c r="Z30" s="11"/>
      <c r="AA30" s="17"/>
      <c r="AB30" s="11"/>
      <c r="AC30" s="11"/>
      <c r="AD30" s="11"/>
      <c r="AE30" s="17"/>
    </row>
    <row r="31" spans="1:34" x14ac:dyDescent="0.25">
      <c r="A31" s="6" t="s">
        <v>16</v>
      </c>
      <c r="B31" s="6" t="s">
        <v>9</v>
      </c>
      <c r="C31" s="6">
        <v>3</v>
      </c>
      <c r="D31">
        <v>72</v>
      </c>
      <c r="E31">
        <v>0.49405733215199998</v>
      </c>
      <c r="O31" s="17"/>
      <c r="P31" s="11"/>
      <c r="Q31" s="11"/>
      <c r="R31" s="11"/>
      <c r="S31" s="17"/>
      <c r="T31" s="11"/>
      <c r="U31" s="11"/>
      <c r="V31" s="11"/>
      <c r="W31" s="17"/>
      <c r="X31" s="11"/>
      <c r="Y31" s="11"/>
      <c r="Z31" s="11"/>
      <c r="AA31" s="17"/>
      <c r="AB31" s="11"/>
      <c r="AC31" s="11"/>
      <c r="AD31" s="11"/>
      <c r="AE31" s="17"/>
    </row>
    <row r="32" spans="1:34" x14ac:dyDescent="0.25">
      <c r="A32" s="6" t="s">
        <v>16</v>
      </c>
      <c r="B32" s="6" t="s">
        <v>9</v>
      </c>
      <c r="C32" s="6">
        <v>3</v>
      </c>
      <c r="D32">
        <v>96</v>
      </c>
      <c r="E32">
        <v>1.4838965321520001</v>
      </c>
      <c r="O32" s="17"/>
      <c r="P32" s="12"/>
      <c r="Q32" s="12"/>
      <c r="R32" s="12"/>
      <c r="S32" s="17"/>
      <c r="T32" s="12"/>
      <c r="U32" s="12"/>
      <c r="V32" s="12"/>
      <c r="W32" s="17"/>
      <c r="X32" s="12"/>
      <c r="Y32" s="12"/>
      <c r="Z32" s="12"/>
      <c r="AA32" s="17"/>
      <c r="AB32" s="12"/>
      <c r="AC32" s="12"/>
      <c r="AD32" s="12"/>
      <c r="AE32" s="17"/>
    </row>
    <row r="33" spans="1:10" x14ac:dyDescent="0.25">
      <c r="A33" s="6" t="s">
        <v>16</v>
      </c>
      <c r="B33" s="6" t="s">
        <v>9</v>
      </c>
      <c r="C33" s="6">
        <v>3</v>
      </c>
      <c r="D33">
        <v>120</v>
      </c>
      <c r="E33">
        <v>1.3850426643039999</v>
      </c>
    </row>
    <row r="34" spans="1:10" x14ac:dyDescent="0.25">
      <c r="A34" s="6" t="s">
        <v>16</v>
      </c>
      <c r="B34" s="6" t="s">
        <v>9</v>
      </c>
      <c r="C34" s="6">
        <v>3</v>
      </c>
      <c r="D34">
        <v>144</v>
      </c>
      <c r="E34">
        <v>1.8705469321520001</v>
      </c>
    </row>
    <row r="35" spans="1:10" x14ac:dyDescent="0.25">
      <c r="A35" s="6" t="s">
        <v>16</v>
      </c>
      <c r="B35" s="6" t="s">
        <v>9</v>
      </c>
      <c r="C35" s="6">
        <v>3</v>
      </c>
      <c r="D35">
        <v>168</v>
      </c>
      <c r="E35">
        <v>1.3772221321520002</v>
      </c>
    </row>
    <row r="36" spans="1:10" x14ac:dyDescent="0.25">
      <c r="A36" s="6" t="s">
        <v>16</v>
      </c>
      <c r="B36" s="6" t="s">
        <v>9</v>
      </c>
      <c r="C36" s="6">
        <v>3</v>
      </c>
      <c r="D36">
        <v>192</v>
      </c>
      <c r="E36">
        <v>1.6224669321520002</v>
      </c>
    </row>
    <row r="37" spans="1:10" x14ac:dyDescent="0.25">
      <c r="A37" s="6" t="s">
        <v>16</v>
      </c>
      <c r="B37" s="6" t="s">
        <v>9</v>
      </c>
      <c r="C37" s="6">
        <v>3</v>
      </c>
      <c r="D37">
        <v>216</v>
      </c>
      <c r="E37">
        <v>1.4725557321520002</v>
      </c>
      <c r="H37" s="6"/>
      <c r="I37" s="6"/>
      <c r="J37" s="6"/>
    </row>
    <row r="38" spans="1:10" x14ac:dyDescent="0.25">
      <c r="A38" s="6" t="s">
        <v>16</v>
      </c>
      <c r="B38" s="6" t="s">
        <v>9</v>
      </c>
      <c r="C38" s="6">
        <v>3</v>
      </c>
      <c r="D38">
        <v>240</v>
      </c>
      <c r="E38">
        <v>1.4286101321519999</v>
      </c>
      <c r="H38" s="6"/>
      <c r="I38" s="6"/>
      <c r="J38" s="6"/>
    </row>
    <row r="39" spans="1:10" x14ac:dyDescent="0.25">
      <c r="A39" s="6" t="s">
        <v>16</v>
      </c>
      <c r="B39" s="6" t="s">
        <v>9</v>
      </c>
      <c r="C39" s="6">
        <v>3</v>
      </c>
      <c r="D39">
        <v>264</v>
      </c>
      <c r="E39">
        <v>1.4158517321520001</v>
      </c>
      <c r="H39" s="6"/>
      <c r="I39" s="6"/>
      <c r="J39" s="6"/>
    </row>
    <row r="40" spans="1:10" x14ac:dyDescent="0.25">
      <c r="A40" s="6" t="s">
        <v>16</v>
      </c>
      <c r="B40" s="6" t="s">
        <v>9</v>
      </c>
      <c r="C40" s="6">
        <v>3</v>
      </c>
      <c r="D40">
        <v>288</v>
      </c>
      <c r="E40">
        <v>1.253182132152</v>
      </c>
      <c r="H40" s="6"/>
      <c r="I40" s="6"/>
      <c r="J40" s="6"/>
    </row>
    <row r="41" spans="1:10" x14ac:dyDescent="0.25">
      <c r="A41" s="6" t="s">
        <v>10</v>
      </c>
      <c r="B41" s="6" t="s">
        <v>9</v>
      </c>
      <c r="C41" s="6">
        <v>1</v>
      </c>
      <c r="D41" s="2">
        <v>0</v>
      </c>
      <c r="E41" s="3">
        <v>0.2</v>
      </c>
    </row>
    <row r="42" spans="1:10" x14ac:dyDescent="0.25">
      <c r="A42" s="6" t="s">
        <v>10</v>
      </c>
      <c r="B42" s="6" t="s">
        <v>9</v>
      </c>
      <c r="C42" s="6">
        <v>1</v>
      </c>
      <c r="D42">
        <v>24</v>
      </c>
      <c r="E42" s="1">
        <v>0.34</v>
      </c>
    </row>
    <row r="43" spans="1:10" x14ac:dyDescent="0.25">
      <c r="A43" s="6" t="s">
        <v>10</v>
      </c>
      <c r="B43" s="6" t="s">
        <v>9</v>
      </c>
      <c r="C43" s="6">
        <v>1</v>
      </c>
      <c r="D43">
        <v>29.25</v>
      </c>
      <c r="E43" s="1">
        <v>0.63</v>
      </c>
    </row>
    <row r="44" spans="1:10" x14ac:dyDescent="0.25">
      <c r="A44" s="6" t="s">
        <v>10</v>
      </c>
      <c r="B44" s="6" t="s">
        <v>9</v>
      </c>
      <c r="C44" s="6">
        <v>1</v>
      </c>
      <c r="D44">
        <v>39.75</v>
      </c>
      <c r="E44" s="1">
        <v>0.8</v>
      </c>
    </row>
    <row r="45" spans="1:10" x14ac:dyDescent="0.25">
      <c r="A45" s="6" t="s">
        <v>10</v>
      </c>
      <c r="B45" s="6" t="s">
        <v>9</v>
      </c>
      <c r="C45" s="6">
        <v>1</v>
      </c>
      <c r="D45">
        <v>51</v>
      </c>
      <c r="E45" s="1">
        <v>1.38</v>
      </c>
    </row>
    <row r="46" spans="1:10" x14ac:dyDescent="0.25">
      <c r="A46" s="6" t="s">
        <v>10</v>
      </c>
      <c r="B46" s="6" t="s">
        <v>9</v>
      </c>
      <c r="C46" s="6">
        <v>1</v>
      </c>
      <c r="D46">
        <v>63.75</v>
      </c>
      <c r="E46" s="1">
        <v>1.8</v>
      </c>
    </row>
    <row r="47" spans="1:10" x14ac:dyDescent="0.25">
      <c r="A47" s="6" t="s">
        <v>10</v>
      </c>
      <c r="B47" s="6" t="s">
        <v>9</v>
      </c>
      <c r="C47" s="6">
        <v>1</v>
      </c>
      <c r="D47">
        <v>75.25</v>
      </c>
      <c r="E47" s="1">
        <v>2.5</v>
      </c>
    </row>
    <row r="48" spans="1:10" x14ac:dyDescent="0.25">
      <c r="A48" s="6" t="s">
        <v>10</v>
      </c>
      <c r="B48" s="6" t="s">
        <v>9</v>
      </c>
      <c r="C48" s="6">
        <v>1</v>
      </c>
      <c r="D48">
        <v>86.75</v>
      </c>
      <c r="E48" s="1">
        <v>1.91</v>
      </c>
    </row>
    <row r="49" spans="1:5" x14ac:dyDescent="0.25">
      <c r="A49" s="6" t="s">
        <v>10</v>
      </c>
      <c r="B49" s="6" t="s">
        <v>9</v>
      </c>
      <c r="C49" s="6">
        <v>1</v>
      </c>
      <c r="D49">
        <v>99.25</v>
      </c>
      <c r="E49" s="1">
        <v>2.0099999999999998</v>
      </c>
    </row>
    <row r="50" spans="1:5" x14ac:dyDescent="0.25">
      <c r="A50" s="6" t="s">
        <v>10</v>
      </c>
      <c r="B50" s="6" t="s">
        <v>9</v>
      </c>
      <c r="C50" s="6">
        <v>2</v>
      </c>
      <c r="D50" s="2">
        <v>0</v>
      </c>
      <c r="E50" s="1">
        <v>0.2</v>
      </c>
    </row>
    <row r="51" spans="1:5" x14ac:dyDescent="0.25">
      <c r="A51" s="6" t="s">
        <v>10</v>
      </c>
      <c r="B51" s="6" t="s">
        <v>9</v>
      </c>
      <c r="C51" s="6">
        <v>2</v>
      </c>
      <c r="D51">
        <v>24</v>
      </c>
      <c r="E51" s="1">
        <v>0.28999999999999998</v>
      </c>
    </row>
    <row r="52" spans="1:5" x14ac:dyDescent="0.25">
      <c r="A52" s="6" t="s">
        <v>10</v>
      </c>
      <c r="B52" s="6" t="s">
        <v>9</v>
      </c>
      <c r="C52" s="6">
        <v>2</v>
      </c>
      <c r="D52">
        <v>29.25</v>
      </c>
      <c r="E52" s="1">
        <v>0.59</v>
      </c>
    </row>
    <row r="53" spans="1:5" x14ac:dyDescent="0.25">
      <c r="A53" s="6" t="s">
        <v>10</v>
      </c>
      <c r="B53" s="6" t="s">
        <v>9</v>
      </c>
      <c r="C53" s="6">
        <v>2</v>
      </c>
      <c r="D53">
        <v>39.75</v>
      </c>
      <c r="E53" s="1">
        <v>0.68</v>
      </c>
    </row>
    <row r="54" spans="1:5" x14ac:dyDescent="0.25">
      <c r="A54" s="6" t="s">
        <v>10</v>
      </c>
      <c r="B54" s="6" t="s">
        <v>9</v>
      </c>
      <c r="C54" s="6">
        <v>2</v>
      </c>
      <c r="D54">
        <v>51</v>
      </c>
      <c r="E54" s="1">
        <v>1.03</v>
      </c>
    </row>
    <row r="55" spans="1:5" x14ac:dyDescent="0.25">
      <c r="A55" s="6" t="s">
        <v>10</v>
      </c>
      <c r="B55" s="6" t="s">
        <v>9</v>
      </c>
      <c r="C55" s="6">
        <v>2</v>
      </c>
      <c r="D55">
        <v>63.75</v>
      </c>
      <c r="E55" s="1">
        <v>1.66</v>
      </c>
    </row>
    <row r="56" spans="1:5" x14ac:dyDescent="0.25">
      <c r="A56" s="6" t="s">
        <v>10</v>
      </c>
      <c r="B56" s="6" t="s">
        <v>9</v>
      </c>
      <c r="C56" s="6">
        <v>2</v>
      </c>
      <c r="D56">
        <v>75.25</v>
      </c>
      <c r="E56" s="1">
        <v>2.2799999999999998</v>
      </c>
    </row>
    <row r="57" spans="1:5" x14ac:dyDescent="0.25">
      <c r="A57" s="6" t="s">
        <v>10</v>
      </c>
      <c r="B57" s="6" t="s">
        <v>9</v>
      </c>
      <c r="C57" s="6">
        <v>2</v>
      </c>
      <c r="D57">
        <v>86.75</v>
      </c>
      <c r="E57" s="1">
        <v>2.1</v>
      </c>
    </row>
    <row r="58" spans="1:5" x14ac:dyDescent="0.25">
      <c r="A58" s="6" t="s">
        <v>10</v>
      </c>
      <c r="B58" s="6" t="s">
        <v>9</v>
      </c>
      <c r="C58" s="6">
        <v>2</v>
      </c>
      <c r="D58">
        <v>99.25</v>
      </c>
      <c r="E58" s="1">
        <v>2.21</v>
      </c>
    </row>
    <row r="59" spans="1:5" x14ac:dyDescent="0.25">
      <c r="A59" s="6" t="s">
        <v>10</v>
      </c>
      <c r="B59" s="6" t="s">
        <v>9</v>
      </c>
      <c r="C59" s="6">
        <v>3</v>
      </c>
      <c r="D59" s="2">
        <v>0</v>
      </c>
      <c r="E59" s="1">
        <v>0.2</v>
      </c>
    </row>
    <row r="60" spans="1:5" x14ac:dyDescent="0.25">
      <c r="A60" s="6" t="s">
        <v>10</v>
      </c>
      <c r="B60" s="6" t="s">
        <v>9</v>
      </c>
      <c r="C60" s="6">
        <v>3</v>
      </c>
      <c r="D60">
        <v>24</v>
      </c>
      <c r="E60" s="1">
        <v>0.25</v>
      </c>
    </row>
    <row r="61" spans="1:5" x14ac:dyDescent="0.25">
      <c r="A61" s="6" t="s">
        <v>10</v>
      </c>
      <c r="B61" s="6" t="s">
        <v>9</v>
      </c>
      <c r="C61" s="6">
        <v>3</v>
      </c>
      <c r="D61">
        <v>29.25</v>
      </c>
      <c r="E61" s="1">
        <v>0.38</v>
      </c>
    </row>
    <row r="62" spans="1:5" x14ac:dyDescent="0.25">
      <c r="A62" s="6" t="s">
        <v>10</v>
      </c>
      <c r="B62" s="6" t="s">
        <v>9</v>
      </c>
      <c r="C62" s="6">
        <v>3</v>
      </c>
      <c r="D62">
        <v>39.75</v>
      </c>
      <c r="E62" s="1">
        <v>0.53</v>
      </c>
    </row>
    <row r="63" spans="1:5" x14ac:dyDescent="0.25">
      <c r="A63" s="6" t="s">
        <v>10</v>
      </c>
      <c r="B63" s="6" t="s">
        <v>9</v>
      </c>
      <c r="C63" s="6">
        <v>3</v>
      </c>
      <c r="D63">
        <v>51</v>
      </c>
      <c r="E63" s="1">
        <v>0.99</v>
      </c>
    </row>
    <row r="64" spans="1:5" x14ac:dyDescent="0.25">
      <c r="A64" s="6" t="s">
        <v>10</v>
      </c>
      <c r="B64" s="6" t="s">
        <v>9</v>
      </c>
      <c r="C64" s="6">
        <v>3</v>
      </c>
      <c r="D64">
        <v>63.75</v>
      </c>
      <c r="E64" s="1">
        <v>1.58</v>
      </c>
    </row>
    <row r="65" spans="1:5" x14ac:dyDescent="0.25">
      <c r="A65" s="6" t="s">
        <v>10</v>
      </c>
      <c r="B65" s="6" t="s">
        <v>9</v>
      </c>
      <c r="C65" s="6">
        <v>3</v>
      </c>
      <c r="D65">
        <v>75.25</v>
      </c>
      <c r="E65" s="1">
        <v>2.33</v>
      </c>
    </row>
    <row r="66" spans="1:5" x14ac:dyDescent="0.25">
      <c r="A66" s="6" t="s">
        <v>10</v>
      </c>
      <c r="B66" s="6" t="s">
        <v>9</v>
      </c>
      <c r="C66" s="6">
        <v>3</v>
      </c>
      <c r="D66">
        <v>86.75</v>
      </c>
      <c r="E66" s="1">
        <v>2</v>
      </c>
    </row>
    <row r="67" spans="1:5" x14ac:dyDescent="0.25">
      <c r="A67" s="6" t="s">
        <v>10</v>
      </c>
      <c r="B67" s="6" t="s">
        <v>9</v>
      </c>
      <c r="C67" s="6">
        <v>3</v>
      </c>
      <c r="D67">
        <v>99.25</v>
      </c>
      <c r="E67" s="1">
        <v>1.9</v>
      </c>
    </row>
    <row r="68" spans="1:5" x14ac:dyDescent="0.25">
      <c r="A68" s="6" t="s">
        <v>19</v>
      </c>
      <c r="B68" s="6" t="s">
        <v>9</v>
      </c>
      <c r="C68" s="6">
        <v>1</v>
      </c>
      <c r="D68" s="6">
        <v>0</v>
      </c>
      <c r="E68">
        <v>0.2</v>
      </c>
    </row>
    <row r="69" spans="1:5" x14ac:dyDescent="0.25">
      <c r="A69" s="6" t="s">
        <v>19</v>
      </c>
      <c r="B69" s="6" t="s">
        <v>9</v>
      </c>
      <c r="C69" s="6">
        <v>1</v>
      </c>
      <c r="D69" s="6">
        <v>47</v>
      </c>
      <c r="E69">
        <v>0.45</v>
      </c>
    </row>
    <row r="70" spans="1:5" x14ac:dyDescent="0.25">
      <c r="A70" s="6" t="s">
        <v>19</v>
      </c>
      <c r="B70" s="6" t="s">
        <v>9</v>
      </c>
      <c r="C70" s="6">
        <v>1</v>
      </c>
      <c r="D70" s="6">
        <v>56.75</v>
      </c>
      <c r="E70">
        <v>0.75</v>
      </c>
    </row>
    <row r="71" spans="1:5" x14ac:dyDescent="0.25">
      <c r="A71" s="6" t="s">
        <v>19</v>
      </c>
      <c r="B71" s="6" t="s">
        <v>9</v>
      </c>
      <c r="C71" s="6">
        <v>1</v>
      </c>
      <c r="D71" s="6">
        <v>70</v>
      </c>
      <c r="E71">
        <v>1.21</v>
      </c>
    </row>
    <row r="72" spans="1:5" x14ac:dyDescent="0.25">
      <c r="A72" s="6" t="s">
        <v>19</v>
      </c>
      <c r="B72" s="6" t="s">
        <v>9</v>
      </c>
      <c r="C72" s="6">
        <v>1</v>
      </c>
      <c r="D72" s="6">
        <v>88.5</v>
      </c>
      <c r="E72">
        <v>1.57</v>
      </c>
    </row>
    <row r="73" spans="1:5" x14ac:dyDescent="0.25">
      <c r="A73" s="6" t="s">
        <v>19</v>
      </c>
      <c r="B73" s="6" t="s">
        <v>9</v>
      </c>
      <c r="C73" s="6">
        <v>1</v>
      </c>
      <c r="D73" s="6">
        <v>97.5</v>
      </c>
      <c r="E73">
        <v>2.2999999999999998</v>
      </c>
    </row>
    <row r="74" spans="1:5" x14ac:dyDescent="0.25">
      <c r="A74" s="6" t="s">
        <v>19</v>
      </c>
      <c r="B74" s="6" t="s">
        <v>9</v>
      </c>
      <c r="C74" s="6">
        <v>1</v>
      </c>
      <c r="D74" s="6">
        <v>119</v>
      </c>
      <c r="E74">
        <v>2.76</v>
      </c>
    </row>
    <row r="75" spans="1:5" x14ac:dyDescent="0.25">
      <c r="A75" s="6" t="s">
        <v>19</v>
      </c>
      <c r="B75" s="6" t="s">
        <v>9</v>
      </c>
      <c r="C75" s="6">
        <v>1</v>
      </c>
      <c r="D75" s="6">
        <v>128.5</v>
      </c>
      <c r="E75">
        <v>2.92</v>
      </c>
    </row>
    <row r="76" spans="1:5" x14ac:dyDescent="0.25">
      <c r="A76" s="6" t="s">
        <v>19</v>
      </c>
      <c r="B76" s="6" t="s">
        <v>9</v>
      </c>
      <c r="C76" s="6">
        <v>1</v>
      </c>
      <c r="D76" s="6">
        <v>149.5</v>
      </c>
      <c r="E76">
        <v>3.23</v>
      </c>
    </row>
    <row r="77" spans="1:5" x14ac:dyDescent="0.25">
      <c r="A77" s="6" t="s">
        <v>19</v>
      </c>
      <c r="B77" s="6" t="s">
        <v>9</v>
      </c>
      <c r="C77" s="6">
        <v>1</v>
      </c>
      <c r="D77" s="6">
        <v>162.5</v>
      </c>
      <c r="E77">
        <v>3.3</v>
      </c>
    </row>
    <row r="78" spans="1:5" x14ac:dyDescent="0.25">
      <c r="A78" s="6" t="s">
        <v>19</v>
      </c>
      <c r="B78" s="6" t="s">
        <v>9</v>
      </c>
      <c r="C78" s="6">
        <v>1</v>
      </c>
      <c r="D78" s="6">
        <v>173</v>
      </c>
      <c r="E78">
        <v>3.11</v>
      </c>
    </row>
    <row r="79" spans="1:5" x14ac:dyDescent="0.25">
      <c r="A79" s="6" t="s">
        <v>19</v>
      </c>
      <c r="B79" s="6" t="s">
        <v>9</v>
      </c>
      <c r="C79" s="6">
        <v>2</v>
      </c>
      <c r="D79" s="6">
        <v>0</v>
      </c>
      <c r="E79">
        <v>0.2</v>
      </c>
    </row>
    <row r="80" spans="1:5" x14ac:dyDescent="0.25">
      <c r="A80" s="6" t="s">
        <v>19</v>
      </c>
      <c r="B80" s="6" t="s">
        <v>9</v>
      </c>
      <c r="C80" s="6">
        <v>2</v>
      </c>
      <c r="D80" s="6">
        <v>47</v>
      </c>
      <c r="E80">
        <v>0.51</v>
      </c>
    </row>
    <row r="81" spans="1:5" x14ac:dyDescent="0.25">
      <c r="A81" s="6" t="s">
        <v>19</v>
      </c>
      <c r="B81" s="6" t="s">
        <v>9</v>
      </c>
      <c r="C81" s="6">
        <v>2</v>
      </c>
      <c r="D81" s="6">
        <v>56.75</v>
      </c>
      <c r="E81">
        <v>0.69</v>
      </c>
    </row>
    <row r="82" spans="1:5" x14ac:dyDescent="0.25">
      <c r="A82" s="6" t="s">
        <v>19</v>
      </c>
      <c r="B82" s="6" t="s">
        <v>9</v>
      </c>
      <c r="C82" s="6">
        <v>2</v>
      </c>
      <c r="D82" s="6">
        <v>70</v>
      </c>
      <c r="E82">
        <v>1.18</v>
      </c>
    </row>
    <row r="83" spans="1:5" x14ac:dyDescent="0.25">
      <c r="A83" s="6" t="s">
        <v>19</v>
      </c>
      <c r="B83" s="6" t="s">
        <v>9</v>
      </c>
      <c r="C83" s="6">
        <v>2</v>
      </c>
      <c r="D83" s="6">
        <v>88.5</v>
      </c>
      <c r="E83">
        <v>1.83</v>
      </c>
    </row>
    <row r="84" spans="1:5" x14ac:dyDescent="0.25">
      <c r="A84" s="6" t="s">
        <v>19</v>
      </c>
      <c r="B84" s="6" t="s">
        <v>9</v>
      </c>
      <c r="C84" s="6">
        <v>2</v>
      </c>
      <c r="D84" s="6">
        <v>97.5</v>
      </c>
      <c r="E84">
        <v>2.76</v>
      </c>
    </row>
    <row r="85" spans="1:5" x14ac:dyDescent="0.25">
      <c r="A85" s="6" t="s">
        <v>19</v>
      </c>
      <c r="B85" s="6" t="s">
        <v>9</v>
      </c>
      <c r="C85" s="6">
        <v>2</v>
      </c>
      <c r="D85" s="6">
        <v>119</v>
      </c>
      <c r="E85">
        <v>2.71</v>
      </c>
    </row>
    <row r="86" spans="1:5" x14ac:dyDescent="0.25">
      <c r="A86" s="6" t="s">
        <v>19</v>
      </c>
      <c r="B86" s="6" t="s">
        <v>9</v>
      </c>
      <c r="C86" s="6">
        <v>2</v>
      </c>
      <c r="D86" s="6">
        <v>128.5</v>
      </c>
      <c r="E86">
        <v>2.82</v>
      </c>
    </row>
    <row r="87" spans="1:5" x14ac:dyDescent="0.25">
      <c r="A87" s="6" t="s">
        <v>19</v>
      </c>
      <c r="B87" s="6" t="s">
        <v>9</v>
      </c>
      <c r="C87" s="6">
        <v>2</v>
      </c>
      <c r="D87" s="6">
        <v>149.5</v>
      </c>
      <c r="E87">
        <v>3.21</v>
      </c>
    </row>
    <row r="88" spans="1:5" x14ac:dyDescent="0.25">
      <c r="A88" s="6" t="s">
        <v>19</v>
      </c>
      <c r="B88" s="6" t="s">
        <v>9</v>
      </c>
      <c r="C88" s="6">
        <v>2</v>
      </c>
      <c r="D88" s="6">
        <v>162.5</v>
      </c>
      <c r="E88">
        <v>3.22</v>
      </c>
    </row>
    <row r="89" spans="1:5" x14ac:dyDescent="0.25">
      <c r="A89" s="6" t="s">
        <v>19</v>
      </c>
      <c r="B89" s="6" t="s">
        <v>9</v>
      </c>
      <c r="C89" s="6">
        <v>2</v>
      </c>
      <c r="D89" s="6">
        <v>173</v>
      </c>
      <c r="E89">
        <v>3.28</v>
      </c>
    </row>
    <row r="90" spans="1:5" x14ac:dyDescent="0.25">
      <c r="A90" s="6" t="s">
        <v>19</v>
      </c>
      <c r="B90" s="6" t="s">
        <v>9</v>
      </c>
      <c r="C90" s="6">
        <v>3</v>
      </c>
      <c r="D90" s="6">
        <v>0</v>
      </c>
      <c r="E90">
        <v>0.2</v>
      </c>
    </row>
    <row r="91" spans="1:5" x14ac:dyDescent="0.25">
      <c r="A91" s="6" t="s">
        <v>19</v>
      </c>
      <c r="B91" s="6" t="s">
        <v>9</v>
      </c>
      <c r="C91" s="6">
        <v>3</v>
      </c>
      <c r="D91" s="6">
        <v>47</v>
      </c>
      <c r="E91">
        <v>0.56000000000000005</v>
      </c>
    </row>
    <row r="92" spans="1:5" x14ac:dyDescent="0.25">
      <c r="A92" s="6" t="s">
        <v>19</v>
      </c>
      <c r="B92" s="6" t="s">
        <v>9</v>
      </c>
      <c r="C92" s="6">
        <v>3</v>
      </c>
      <c r="D92" s="6">
        <v>56.75</v>
      </c>
      <c r="E92">
        <v>0.78</v>
      </c>
    </row>
    <row r="93" spans="1:5" x14ac:dyDescent="0.25">
      <c r="A93" s="6" t="s">
        <v>19</v>
      </c>
      <c r="B93" s="6" t="s">
        <v>9</v>
      </c>
      <c r="C93" s="6">
        <v>3</v>
      </c>
      <c r="D93" s="6">
        <v>70</v>
      </c>
      <c r="E93">
        <v>1.1299999999999999</v>
      </c>
    </row>
    <row r="94" spans="1:5" x14ac:dyDescent="0.25">
      <c r="A94" s="6" t="s">
        <v>19</v>
      </c>
      <c r="B94" s="6" t="s">
        <v>9</v>
      </c>
      <c r="C94" s="6">
        <v>3</v>
      </c>
      <c r="D94" s="6">
        <v>88.5</v>
      </c>
      <c r="E94">
        <v>1.47</v>
      </c>
    </row>
    <row r="95" spans="1:5" x14ac:dyDescent="0.25">
      <c r="A95" s="6" t="s">
        <v>19</v>
      </c>
      <c r="B95" s="6" t="s">
        <v>9</v>
      </c>
      <c r="C95" s="6">
        <v>3</v>
      </c>
      <c r="D95" s="6">
        <v>97.5</v>
      </c>
      <c r="E95">
        <v>2.83</v>
      </c>
    </row>
    <row r="96" spans="1:5" x14ac:dyDescent="0.25">
      <c r="A96" s="6" t="s">
        <v>19</v>
      </c>
      <c r="B96" s="6" t="s">
        <v>9</v>
      </c>
      <c r="C96" s="6">
        <v>3</v>
      </c>
      <c r="D96" s="6">
        <v>119</v>
      </c>
      <c r="E96">
        <v>2.7</v>
      </c>
    </row>
    <row r="97" spans="1:5" x14ac:dyDescent="0.25">
      <c r="A97" s="6" t="s">
        <v>19</v>
      </c>
      <c r="B97" s="6" t="s">
        <v>9</v>
      </c>
      <c r="C97" s="6">
        <v>3</v>
      </c>
      <c r="D97" s="6">
        <v>128.5</v>
      </c>
      <c r="E97">
        <v>2.86</v>
      </c>
    </row>
    <row r="98" spans="1:5" x14ac:dyDescent="0.25">
      <c r="A98" s="6" t="s">
        <v>19</v>
      </c>
      <c r="B98" s="6" t="s">
        <v>9</v>
      </c>
      <c r="C98" s="6">
        <v>3</v>
      </c>
      <c r="D98" s="6">
        <v>149.5</v>
      </c>
      <c r="E98">
        <v>3.16</v>
      </c>
    </row>
    <row r="99" spans="1:5" x14ac:dyDescent="0.25">
      <c r="A99" s="6" t="s">
        <v>19</v>
      </c>
      <c r="B99" s="6" t="s">
        <v>9</v>
      </c>
      <c r="C99" s="6">
        <v>3</v>
      </c>
      <c r="D99" s="6">
        <v>162.5</v>
      </c>
      <c r="E99">
        <v>3.26</v>
      </c>
    </row>
    <row r="100" spans="1:5" x14ac:dyDescent="0.25">
      <c r="A100" s="6" t="s">
        <v>19</v>
      </c>
      <c r="B100" s="6" t="s">
        <v>9</v>
      </c>
      <c r="C100" s="6">
        <v>3</v>
      </c>
      <c r="D100" s="6">
        <v>173</v>
      </c>
      <c r="E100">
        <v>3.18</v>
      </c>
    </row>
    <row r="101" spans="1:5" x14ac:dyDescent="0.25">
      <c r="A101" s="8" t="s">
        <v>40</v>
      </c>
      <c r="B101" s="6" t="s">
        <v>9</v>
      </c>
      <c r="C101" s="6">
        <v>1</v>
      </c>
      <c r="D101">
        <v>0</v>
      </c>
      <c r="E101">
        <v>0.2</v>
      </c>
    </row>
    <row r="102" spans="1:5" x14ac:dyDescent="0.25">
      <c r="A102" s="8" t="s">
        <v>40</v>
      </c>
      <c r="B102" s="6" t="s">
        <v>9</v>
      </c>
      <c r="C102" s="6">
        <v>1</v>
      </c>
      <c r="D102" s="17">
        <v>18</v>
      </c>
      <c r="E102">
        <v>0.18</v>
      </c>
    </row>
    <row r="103" spans="1:5" x14ac:dyDescent="0.25">
      <c r="A103" s="8" t="s">
        <v>40</v>
      </c>
      <c r="B103" s="6" t="s">
        <v>9</v>
      </c>
      <c r="C103" s="6">
        <v>1</v>
      </c>
      <c r="D103" s="17">
        <f>D102+12</f>
        <v>30</v>
      </c>
      <c r="E103">
        <v>0.2</v>
      </c>
    </row>
    <row r="104" spans="1:5" x14ac:dyDescent="0.25">
      <c r="A104" s="8" t="s">
        <v>40</v>
      </c>
      <c r="B104" s="6" t="s">
        <v>9</v>
      </c>
      <c r="C104" s="6">
        <v>1</v>
      </c>
      <c r="D104" s="17">
        <f>D103+12</f>
        <v>42</v>
      </c>
      <c r="E104">
        <v>0.47</v>
      </c>
    </row>
    <row r="105" spans="1:5" x14ac:dyDescent="0.25">
      <c r="A105" s="8" t="s">
        <v>40</v>
      </c>
      <c r="B105" s="6" t="s">
        <v>9</v>
      </c>
      <c r="C105" s="6">
        <v>1</v>
      </c>
      <c r="D105" s="17">
        <f>D104+12</f>
        <v>54</v>
      </c>
      <c r="E105">
        <v>0.85</v>
      </c>
    </row>
    <row r="106" spans="1:5" x14ac:dyDescent="0.25">
      <c r="A106" s="8" t="s">
        <v>40</v>
      </c>
      <c r="B106" s="6" t="s">
        <v>9</v>
      </c>
      <c r="C106" s="6">
        <v>1</v>
      </c>
      <c r="D106" s="17">
        <f>D105+12</f>
        <v>66</v>
      </c>
      <c r="E106">
        <v>0.86</v>
      </c>
    </row>
    <row r="107" spans="1:5" x14ac:dyDescent="0.25">
      <c r="A107" s="8" t="s">
        <v>40</v>
      </c>
      <c r="B107" s="6" t="s">
        <v>9</v>
      </c>
      <c r="C107" s="6">
        <v>1</v>
      </c>
      <c r="D107" s="17">
        <f>D106+12</f>
        <v>78</v>
      </c>
      <c r="E107">
        <v>1.05</v>
      </c>
    </row>
    <row r="108" spans="1:5" x14ac:dyDescent="0.25">
      <c r="A108" s="8" t="s">
        <v>40</v>
      </c>
      <c r="B108" s="6" t="s">
        <v>9</v>
      </c>
      <c r="C108" s="6">
        <v>1</v>
      </c>
      <c r="D108" s="17">
        <f>D107+12</f>
        <v>90</v>
      </c>
      <c r="E108">
        <v>0.94</v>
      </c>
    </row>
    <row r="109" spans="1:5" x14ac:dyDescent="0.25">
      <c r="A109" s="8" t="s">
        <v>40</v>
      </c>
      <c r="B109" s="6" t="s">
        <v>9</v>
      </c>
      <c r="C109" s="6">
        <v>1</v>
      </c>
      <c r="D109" s="17">
        <v>162</v>
      </c>
      <c r="E109">
        <v>0.93</v>
      </c>
    </row>
    <row r="110" spans="1:5" x14ac:dyDescent="0.25">
      <c r="A110" s="8" t="s">
        <v>40</v>
      </c>
      <c r="B110" s="6" t="s">
        <v>9</v>
      </c>
      <c r="C110" s="6">
        <v>2</v>
      </c>
      <c r="D110">
        <v>0</v>
      </c>
      <c r="E110">
        <v>0.2</v>
      </c>
    </row>
    <row r="111" spans="1:5" x14ac:dyDescent="0.25">
      <c r="A111" s="8" t="s">
        <v>40</v>
      </c>
      <c r="B111" s="6" t="s">
        <v>9</v>
      </c>
      <c r="C111" s="6">
        <v>2</v>
      </c>
      <c r="D111" s="17">
        <v>18</v>
      </c>
      <c r="E111">
        <v>0.18</v>
      </c>
    </row>
    <row r="112" spans="1:5" x14ac:dyDescent="0.25">
      <c r="A112" s="8" t="s">
        <v>40</v>
      </c>
      <c r="B112" s="6" t="s">
        <v>9</v>
      </c>
      <c r="C112" s="6">
        <v>2</v>
      </c>
      <c r="D112" s="17">
        <f>D111+12</f>
        <v>30</v>
      </c>
      <c r="E112">
        <v>0.23</v>
      </c>
    </row>
    <row r="113" spans="1:5" x14ac:dyDescent="0.25">
      <c r="A113" s="8" t="s">
        <v>40</v>
      </c>
      <c r="B113" s="6" t="s">
        <v>9</v>
      </c>
      <c r="C113" s="6">
        <v>2</v>
      </c>
      <c r="D113" s="17">
        <f>D112+12</f>
        <v>42</v>
      </c>
      <c r="E113">
        <v>0.32</v>
      </c>
    </row>
    <row r="114" spans="1:5" x14ac:dyDescent="0.25">
      <c r="A114" s="8" t="s">
        <v>40</v>
      </c>
      <c r="B114" s="6" t="s">
        <v>9</v>
      </c>
      <c r="C114" s="6">
        <v>2</v>
      </c>
      <c r="D114" s="17">
        <f>D113+12</f>
        <v>54</v>
      </c>
      <c r="E114">
        <v>0.74</v>
      </c>
    </row>
    <row r="115" spans="1:5" x14ac:dyDescent="0.25">
      <c r="A115" s="8" t="s">
        <v>40</v>
      </c>
      <c r="B115" s="6" t="s">
        <v>9</v>
      </c>
      <c r="C115" s="6">
        <v>2</v>
      </c>
      <c r="D115" s="17">
        <f>D114+12</f>
        <v>66</v>
      </c>
      <c r="E115">
        <v>0.86</v>
      </c>
    </row>
    <row r="116" spans="1:5" x14ac:dyDescent="0.25">
      <c r="A116" s="8" t="s">
        <v>40</v>
      </c>
      <c r="B116" s="6" t="s">
        <v>9</v>
      </c>
      <c r="C116" s="6">
        <v>2</v>
      </c>
      <c r="D116" s="17">
        <f>D115+12</f>
        <v>78</v>
      </c>
      <c r="E116">
        <v>0.81</v>
      </c>
    </row>
    <row r="117" spans="1:5" x14ac:dyDescent="0.25">
      <c r="A117" s="8" t="s">
        <v>40</v>
      </c>
      <c r="B117" s="6" t="s">
        <v>9</v>
      </c>
      <c r="C117" s="6">
        <v>2</v>
      </c>
      <c r="D117" s="17">
        <f>D116+12</f>
        <v>90</v>
      </c>
      <c r="E117">
        <v>0.84</v>
      </c>
    </row>
    <row r="118" spans="1:5" x14ac:dyDescent="0.25">
      <c r="A118" s="8" t="s">
        <v>40</v>
      </c>
      <c r="B118" s="6" t="s">
        <v>9</v>
      </c>
      <c r="C118" s="6">
        <v>2</v>
      </c>
      <c r="D118" s="17">
        <v>162</v>
      </c>
      <c r="E118">
        <v>0.92</v>
      </c>
    </row>
    <row r="119" spans="1:5" x14ac:dyDescent="0.25">
      <c r="A119" s="8" t="s">
        <v>40</v>
      </c>
      <c r="B119" s="6" t="s">
        <v>9</v>
      </c>
      <c r="C119" s="6">
        <v>3</v>
      </c>
      <c r="D119">
        <v>0</v>
      </c>
      <c r="E119">
        <v>0.2</v>
      </c>
    </row>
    <row r="120" spans="1:5" x14ac:dyDescent="0.25">
      <c r="A120" s="8" t="s">
        <v>40</v>
      </c>
      <c r="B120" s="6" t="s">
        <v>9</v>
      </c>
      <c r="C120" s="6">
        <v>3</v>
      </c>
      <c r="D120" s="17">
        <v>18</v>
      </c>
      <c r="E120">
        <v>0.2</v>
      </c>
    </row>
    <row r="121" spans="1:5" x14ac:dyDescent="0.25">
      <c r="A121" s="8" t="s">
        <v>40</v>
      </c>
      <c r="B121" s="6" t="s">
        <v>9</v>
      </c>
      <c r="C121" s="6">
        <v>3</v>
      </c>
      <c r="D121" s="17">
        <f>D120+12</f>
        <v>30</v>
      </c>
      <c r="E121">
        <v>0.21</v>
      </c>
    </row>
    <row r="122" spans="1:5" x14ac:dyDescent="0.25">
      <c r="A122" s="8" t="s">
        <v>40</v>
      </c>
      <c r="B122" s="6" t="s">
        <v>9</v>
      </c>
      <c r="C122" s="6">
        <v>3</v>
      </c>
      <c r="D122" s="17">
        <f>D121+12</f>
        <v>42</v>
      </c>
      <c r="E122">
        <v>0.45</v>
      </c>
    </row>
    <row r="123" spans="1:5" x14ac:dyDescent="0.25">
      <c r="A123" s="8" t="s">
        <v>40</v>
      </c>
      <c r="B123" s="6" t="s">
        <v>9</v>
      </c>
      <c r="C123" s="6">
        <v>3</v>
      </c>
      <c r="D123" s="17">
        <f>D122+12</f>
        <v>54</v>
      </c>
      <c r="E123">
        <v>0.73</v>
      </c>
    </row>
    <row r="124" spans="1:5" x14ac:dyDescent="0.25">
      <c r="A124" s="8" t="s">
        <v>40</v>
      </c>
      <c r="B124" s="6" t="s">
        <v>9</v>
      </c>
      <c r="C124" s="6">
        <v>3</v>
      </c>
      <c r="D124" s="17">
        <f>D123+12</f>
        <v>66</v>
      </c>
      <c r="E124">
        <v>0.93</v>
      </c>
    </row>
    <row r="125" spans="1:5" x14ac:dyDescent="0.25">
      <c r="A125" s="8" t="s">
        <v>40</v>
      </c>
      <c r="B125" s="6" t="s">
        <v>9</v>
      </c>
      <c r="C125" s="6">
        <v>3</v>
      </c>
      <c r="D125" s="17">
        <f>D124+12</f>
        <v>78</v>
      </c>
      <c r="E125">
        <v>0.93</v>
      </c>
    </row>
    <row r="126" spans="1:5" x14ac:dyDescent="0.25">
      <c r="A126" s="8" t="s">
        <v>40</v>
      </c>
      <c r="B126" s="6" t="s">
        <v>9</v>
      </c>
      <c r="C126" s="6">
        <v>3</v>
      </c>
      <c r="D126" s="17">
        <f>D125+12</f>
        <v>90</v>
      </c>
      <c r="E126">
        <v>0.82</v>
      </c>
    </row>
    <row r="127" spans="1:5" x14ac:dyDescent="0.25">
      <c r="A127" s="8" t="s">
        <v>40</v>
      </c>
      <c r="B127" s="6" t="s">
        <v>9</v>
      </c>
      <c r="C127" s="6">
        <v>3</v>
      </c>
      <c r="D127" s="17">
        <v>162</v>
      </c>
      <c r="E127">
        <v>0.95</v>
      </c>
    </row>
    <row r="128" spans="1:5" x14ac:dyDescent="0.25">
      <c r="A128" s="8" t="s">
        <v>41</v>
      </c>
      <c r="B128" s="6" t="s">
        <v>9</v>
      </c>
      <c r="C128" s="6">
        <v>1</v>
      </c>
      <c r="D128">
        <v>0</v>
      </c>
      <c r="E128">
        <v>0.2</v>
      </c>
    </row>
    <row r="129" spans="1:5" x14ac:dyDescent="0.25">
      <c r="A129" s="8" t="s">
        <v>41</v>
      </c>
      <c r="B129" s="6" t="s">
        <v>9</v>
      </c>
      <c r="C129" s="6">
        <v>1</v>
      </c>
      <c r="D129" s="17">
        <v>18</v>
      </c>
      <c r="E129">
        <v>0.25</v>
      </c>
    </row>
    <row r="130" spans="1:5" x14ac:dyDescent="0.25">
      <c r="A130" s="8" t="s">
        <v>41</v>
      </c>
      <c r="B130" s="6" t="s">
        <v>9</v>
      </c>
      <c r="C130" s="6">
        <v>1</v>
      </c>
      <c r="D130" s="17">
        <f>D129+12</f>
        <v>30</v>
      </c>
      <c r="E130">
        <v>0.4</v>
      </c>
    </row>
    <row r="131" spans="1:5" x14ac:dyDescent="0.25">
      <c r="A131" s="8" t="s">
        <v>41</v>
      </c>
      <c r="B131" s="6" t="s">
        <v>9</v>
      </c>
      <c r="C131" s="6">
        <v>1</v>
      </c>
      <c r="D131" s="17">
        <f>D130+12</f>
        <v>42</v>
      </c>
      <c r="E131">
        <v>0.71</v>
      </c>
    </row>
    <row r="132" spans="1:5" x14ac:dyDescent="0.25">
      <c r="A132" s="8" t="s">
        <v>41</v>
      </c>
      <c r="B132" s="6" t="s">
        <v>9</v>
      </c>
      <c r="C132" s="6">
        <v>1</v>
      </c>
      <c r="D132" s="17">
        <f>D131+12</f>
        <v>54</v>
      </c>
      <c r="E132">
        <v>0.89</v>
      </c>
    </row>
    <row r="133" spans="1:5" x14ac:dyDescent="0.25">
      <c r="A133" s="8" t="s">
        <v>41</v>
      </c>
      <c r="B133" s="6" t="s">
        <v>9</v>
      </c>
      <c r="C133" s="6">
        <v>1</v>
      </c>
      <c r="D133" s="17">
        <f>D132+12</f>
        <v>66</v>
      </c>
      <c r="E133">
        <v>0.8</v>
      </c>
    </row>
    <row r="134" spans="1:5" x14ac:dyDescent="0.25">
      <c r="A134" s="8" t="s">
        <v>41</v>
      </c>
      <c r="B134" s="6" t="s">
        <v>9</v>
      </c>
      <c r="C134" s="6">
        <v>1</v>
      </c>
      <c r="D134" s="17">
        <f>D133+12</f>
        <v>78</v>
      </c>
      <c r="E134">
        <v>0.71</v>
      </c>
    </row>
    <row r="135" spans="1:5" x14ac:dyDescent="0.25">
      <c r="A135" s="8" t="s">
        <v>41</v>
      </c>
      <c r="B135" s="6" t="s">
        <v>9</v>
      </c>
      <c r="C135" s="6">
        <v>1</v>
      </c>
      <c r="D135" s="17">
        <f>D134+12</f>
        <v>90</v>
      </c>
      <c r="E135">
        <v>0.8</v>
      </c>
    </row>
    <row r="136" spans="1:5" x14ac:dyDescent="0.25">
      <c r="A136" s="8" t="s">
        <v>41</v>
      </c>
      <c r="B136" s="6" t="s">
        <v>9</v>
      </c>
      <c r="C136" s="6">
        <v>1</v>
      </c>
      <c r="D136" s="17">
        <v>162</v>
      </c>
      <c r="E136">
        <v>0.75</v>
      </c>
    </row>
    <row r="137" spans="1:5" x14ac:dyDescent="0.25">
      <c r="A137" s="8" t="s">
        <v>41</v>
      </c>
      <c r="B137" s="6" t="s">
        <v>9</v>
      </c>
      <c r="C137" s="6">
        <v>2</v>
      </c>
      <c r="D137">
        <v>0</v>
      </c>
      <c r="E137">
        <v>0.2</v>
      </c>
    </row>
    <row r="138" spans="1:5" x14ac:dyDescent="0.25">
      <c r="A138" s="8" t="s">
        <v>41</v>
      </c>
      <c r="B138" s="6" t="s">
        <v>9</v>
      </c>
      <c r="C138" s="6">
        <v>2</v>
      </c>
      <c r="D138" s="17">
        <v>18</v>
      </c>
      <c r="E138">
        <v>0.28999999999999998</v>
      </c>
    </row>
    <row r="139" spans="1:5" x14ac:dyDescent="0.25">
      <c r="A139" s="8" t="s">
        <v>41</v>
      </c>
      <c r="B139" s="6" t="s">
        <v>9</v>
      </c>
      <c r="C139" s="6">
        <v>2</v>
      </c>
      <c r="D139" s="17">
        <f>D138+12</f>
        <v>30</v>
      </c>
      <c r="E139">
        <v>0.52</v>
      </c>
    </row>
    <row r="140" spans="1:5" x14ac:dyDescent="0.25">
      <c r="A140" s="8" t="s">
        <v>41</v>
      </c>
      <c r="B140" s="6" t="s">
        <v>9</v>
      </c>
      <c r="C140" s="6">
        <v>2</v>
      </c>
      <c r="D140" s="17">
        <f>D139+12</f>
        <v>42</v>
      </c>
      <c r="E140">
        <v>0.69</v>
      </c>
    </row>
    <row r="141" spans="1:5" x14ac:dyDescent="0.25">
      <c r="A141" s="8" t="s">
        <v>41</v>
      </c>
      <c r="B141" s="6" t="s">
        <v>9</v>
      </c>
      <c r="C141" s="6">
        <v>2</v>
      </c>
      <c r="D141" s="17">
        <f>D140+12</f>
        <v>54</v>
      </c>
      <c r="E141">
        <v>0.87</v>
      </c>
    </row>
    <row r="142" spans="1:5" x14ac:dyDescent="0.25">
      <c r="A142" s="8" t="s">
        <v>41</v>
      </c>
      <c r="B142" s="6" t="s">
        <v>9</v>
      </c>
      <c r="C142" s="6">
        <v>2</v>
      </c>
      <c r="D142" s="17">
        <f>D141+12</f>
        <v>66</v>
      </c>
      <c r="E142">
        <v>0.9</v>
      </c>
    </row>
    <row r="143" spans="1:5" x14ac:dyDescent="0.25">
      <c r="A143" s="8" t="s">
        <v>41</v>
      </c>
      <c r="B143" s="6" t="s">
        <v>9</v>
      </c>
      <c r="C143" s="6">
        <v>2</v>
      </c>
      <c r="D143" s="17">
        <f>D142+12</f>
        <v>78</v>
      </c>
      <c r="E143">
        <v>0.92</v>
      </c>
    </row>
    <row r="144" spans="1:5" x14ac:dyDescent="0.25">
      <c r="A144" s="8" t="s">
        <v>41</v>
      </c>
      <c r="B144" s="6" t="s">
        <v>9</v>
      </c>
      <c r="C144" s="6">
        <v>2</v>
      </c>
      <c r="D144" s="17">
        <f>D143+12</f>
        <v>90</v>
      </c>
      <c r="E144">
        <v>0.68</v>
      </c>
    </row>
    <row r="145" spans="1:5" x14ac:dyDescent="0.25">
      <c r="A145" s="8" t="s">
        <v>41</v>
      </c>
      <c r="B145" s="6" t="s">
        <v>9</v>
      </c>
      <c r="C145" s="6">
        <v>2</v>
      </c>
      <c r="D145" s="17">
        <v>162</v>
      </c>
      <c r="E145">
        <v>0.75</v>
      </c>
    </row>
    <row r="146" spans="1:5" x14ac:dyDescent="0.25">
      <c r="A146" s="8" t="s">
        <v>41</v>
      </c>
      <c r="B146" s="6" t="s">
        <v>9</v>
      </c>
      <c r="C146" s="6">
        <v>3</v>
      </c>
      <c r="D146">
        <v>0</v>
      </c>
      <c r="E146">
        <v>0.2</v>
      </c>
    </row>
    <row r="147" spans="1:5" x14ac:dyDescent="0.25">
      <c r="A147" s="8" t="s">
        <v>41</v>
      </c>
      <c r="B147" s="6" t="s">
        <v>9</v>
      </c>
      <c r="C147" s="6">
        <v>3</v>
      </c>
      <c r="D147" s="17">
        <v>18</v>
      </c>
      <c r="E147">
        <v>0.32</v>
      </c>
    </row>
    <row r="148" spans="1:5" x14ac:dyDescent="0.25">
      <c r="A148" s="8" t="s">
        <v>41</v>
      </c>
      <c r="B148" s="6" t="s">
        <v>9</v>
      </c>
      <c r="C148" s="6">
        <v>3</v>
      </c>
      <c r="D148" s="17">
        <f>D147+12</f>
        <v>30</v>
      </c>
      <c r="E148">
        <v>0.46</v>
      </c>
    </row>
    <row r="149" spans="1:5" x14ac:dyDescent="0.25">
      <c r="A149" s="8" t="s">
        <v>41</v>
      </c>
      <c r="B149" s="6" t="s">
        <v>9</v>
      </c>
      <c r="C149" s="6">
        <v>3</v>
      </c>
      <c r="D149" s="17">
        <f>D148+12</f>
        <v>42</v>
      </c>
      <c r="E149">
        <v>0.6</v>
      </c>
    </row>
    <row r="150" spans="1:5" x14ac:dyDescent="0.25">
      <c r="A150" s="8" t="s">
        <v>41</v>
      </c>
      <c r="B150" s="6" t="s">
        <v>9</v>
      </c>
      <c r="C150" s="6">
        <v>3</v>
      </c>
      <c r="D150" s="17">
        <f>D149+12</f>
        <v>54</v>
      </c>
      <c r="E150">
        <v>0.89</v>
      </c>
    </row>
    <row r="151" spans="1:5" x14ac:dyDescent="0.25">
      <c r="A151" s="8" t="s">
        <v>41</v>
      </c>
      <c r="B151" s="6" t="s">
        <v>9</v>
      </c>
      <c r="C151" s="6">
        <v>3</v>
      </c>
      <c r="D151" s="17">
        <f>D150+12</f>
        <v>66</v>
      </c>
      <c r="E151">
        <v>0.86</v>
      </c>
    </row>
    <row r="152" spans="1:5" x14ac:dyDescent="0.25">
      <c r="A152" s="8" t="s">
        <v>41</v>
      </c>
      <c r="B152" s="6" t="s">
        <v>9</v>
      </c>
      <c r="C152" s="6">
        <v>3</v>
      </c>
      <c r="D152" s="17">
        <f>D151+12</f>
        <v>78</v>
      </c>
      <c r="E152">
        <v>0.78</v>
      </c>
    </row>
    <row r="153" spans="1:5" x14ac:dyDescent="0.25">
      <c r="A153" s="8" t="s">
        <v>41</v>
      </c>
      <c r="B153" s="6" t="s">
        <v>9</v>
      </c>
      <c r="C153" s="6">
        <v>3</v>
      </c>
      <c r="D153" s="17">
        <f>D152+12</f>
        <v>90</v>
      </c>
      <c r="E153">
        <v>0.79</v>
      </c>
    </row>
    <row r="154" spans="1:5" x14ac:dyDescent="0.25">
      <c r="A154" s="8" t="s">
        <v>41</v>
      </c>
      <c r="B154" s="6" t="s">
        <v>9</v>
      </c>
      <c r="C154" s="6">
        <v>3</v>
      </c>
      <c r="D154" s="17">
        <v>162</v>
      </c>
      <c r="E154">
        <v>0.76</v>
      </c>
    </row>
    <row r="155" spans="1:5" x14ac:dyDescent="0.25">
      <c r="A155" s="8" t="s">
        <v>42</v>
      </c>
      <c r="B155" s="6" t="s">
        <v>9</v>
      </c>
      <c r="C155" s="6">
        <v>1</v>
      </c>
      <c r="D155">
        <v>0</v>
      </c>
      <c r="E155">
        <v>0.2</v>
      </c>
    </row>
    <row r="156" spans="1:5" x14ac:dyDescent="0.25">
      <c r="A156" s="8" t="s">
        <v>42</v>
      </c>
      <c r="B156" s="6" t="s">
        <v>9</v>
      </c>
      <c r="C156" s="6">
        <v>1</v>
      </c>
      <c r="D156" s="17">
        <v>18</v>
      </c>
      <c r="E156">
        <v>0.16</v>
      </c>
    </row>
    <row r="157" spans="1:5" x14ac:dyDescent="0.25">
      <c r="A157" s="8" t="s">
        <v>42</v>
      </c>
      <c r="B157" s="6" t="s">
        <v>9</v>
      </c>
      <c r="C157" s="6">
        <v>1</v>
      </c>
      <c r="D157" s="17">
        <f>D156+12</f>
        <v>30</v>
      </c>
      <c r="E157">
        <v>0.19</v>
      </c>
    </row>
    <row r="158" spans="1:5" x14ac:dyDescent="0.25">
      <c r="A158" s="8" t="s">
        <v>42</v>
      </c>
      <c r="B158" s="6" t="s">
        <v>9</v>
      </c>
      <c r="C158" s="6">
        <v>1</v>
      </c>
      <c r="D158" s="17">
        <f>D157+12</f>
        <v>42</v>
      </c>
      <c r="E158">
        <v>0.21</v>
      </c>
    </row>
    <row r="159" spans="1:5" x14ac:dyDescent="0.25">
      <c r="A159" s="8" t="s">
        <v>42</v>
      </c>
      <c r="B159" s="6" t="s">
        <v>9</v>
      </c>
      <c r="C159" s="6">
        <v>1</v>
      </c>
      <c r="D159" s="17">
        <f>D158+12</f>
        <v>54</v>
      </c>
      <c r="E159">
        <v>0.31</v>
      </c>
    </row>
    <row r="160" spans="1:5" x14ac:dyDescent="0.25">
      <c r="A160" s="8" t="s">
        <v>42</v>
      </c>
      <c r="B160" s="6" t="s">
        <v>9</v>
      </c>
      <c r="C160" s="6">
        <v>1</v>
      </c>
      <c r="D160" s="17">
        <f>D159+12</f>
        <v>66</v>
      </c>
      <c r="E160">
        <v>0.36</v>
      </c>
    </row>
    <row r="161" spans="1:5" x14ac:dyDescent="0.25">
      <c r="A161" s="8" t="s">
        <v>42</v>
      </c>
      <c r="B161" s="6" t="s">
        <v>9</v>
      </c>
      <c r="C161" s="6">
        <v>1</v>
      </c>
      <c r="D161" s="17">
        <f>D160+12</f>
        <v>78</v>
      </c>
      <c r="E161">
        <v>0.56999999999999995</v>
      </c>
    </row>
    <row r="162" spans="1:5" x14ac:dyDescent="0.25">
      <c r="A162" s="8" t="s">
        <v>42</v>
      </c>
      <c r="B162" s="6" t="s">
        <v>9</v>
      </c>
      <c r="C162" s="6">
        <v>1</v>
      </c>
      <c r="D162" s="17">
        <f>D161+12</f>
        <v>90</v>
      </c>
      <c r="E162">
        <v>0.81</v>
      </c>
    </row>
    <row r="163" spans="1:5" x14ac:dyDescent="0.25">
      <c r="A163" s="8" t="s">
        <v>42</v>
      </c>
      <c r="B163" s="6" t="s">
        <v>9</v>
      </c>
      <c r="C163" s="6">
        <v>1</v>
      </c>
      <c r="D163" s="17">
        <v>162</v>
      </c>
      <c r="E163">
        <v>0.87</v>
      </c>
    </row>
    <row r="164" spans="1:5" x14ac:dyDescent="0.25">
      <c r="A164" s="8" t="s">
        <v>42</v>
      </c>
      <c r="B164" s="6" t="s">
        <v>9</v>
      </c>
      <c r="C164" s="6">
        <v>2</v>
      </c>
      <c r="D164">
        <v>0</v>
      </c>
      <c r="E164">
        <v>0.2</v>
      </c>
    </row>
    <row r="165" spans="1:5" x14ac:dyDescent="0.25">
      <c r="A165" s="8" t="s">
        <v>42</v>
      </c>
      <c r="B165" s="6" t="s">
        <v>9</v>
      </c>
      <c r="C165" s="6">
        <v>2</v>
      </c>
      <c r="D165" s="17">
        <v>18</v>
      </c>
      <c r="E165">
        <v>0.18</v>
      </c>
    </row>
    <row r="166" spans="1:5" x14ac:dyDescent="0.25">
      <c r="A166" s="8" t="s">
        <v>42</v>
      </c>
      <c r="B166" s="6" t="s">
        <v>9</v>
      </c>
      <c r="C166" s="6">
        <v>2</v>
      </c>
      <c r="D166" s="17">
        <f>D165+12</f>
        <v>30</v>
      </c>
      <c r="E166">
        <v>0.18</v>
      </c>
    </row>
    <row r="167" spans="1:5" x14ac:dyDescent="0.25">
      <c r="A167" s="8" t="s">
        <v>42</v>
      </c>
      <c r="B167" s="6" t="s">
        <v>9</v>
      </c>
      <c r="C167" s="6">
        <v>2</v>
      </c>
      <c r="D167" s="17">
        <f>D166+12</f>
        <v>42</v>
      </c>
      <c r="E167">
        <v>0.2</v>
      </c>
    </row>
    <row r="168" spans="1:5" x14ac:dyDescent="0.25">
      <c r="A168" s="8" t="s">
        <v>42</v>
      </c>
      <c r="B168" s="6" t="s">
        <v>9</v>
      </c>
      <c r="C168" s="6">
        <v>2</v>
      </c>
      <c r="D168" s="17">
        <f>D167+12</f>
        <v>54</v>
      </c>
      <c r="E168">
        <v>0.3</v>
      </c>
    </row>
    <row r="169" spans="1:5" x14ac:dyDescent="0.25">
      <c r="A169" s="8" t="s">
        <v>42</v>
      </c>
      <c r="B169" s="6" t="s">
        <v>9</v>
      </c>
      <c r="C169" s="6">
        <v>2</v>
      </c>
      <c r="D169" s="17">
        <f>D168+12</f>
        <v>66</v>
      </c>
      <c r="E169">
        <v>0.3</v>
      </c>
    </row>
    <row r="170" spans="1:5" x14ac:dyDescent="0.25">
      <c r="A170" s="8" t="s">
        <v>42</v>
      </c>
      <c r="B170" s="6" t="s">
        <v>9</v>
      </c>
      <c r="C170" s="6">
        <v>2</v>
      </c>
      <c r="D170" s="17">
        <f>D169+12</f>
        <v>78</v>
      </c>
      <c r="E170">
        <v>0.71</v>
      </c>
    </row>
    <row r="171" spans="1:5" x14ac:dyDescent="0.25">
      <c r="A171" s="8" t="s">
        <v>42</v>
      </c>
      <c r="B171" s="6" t="s">
        <v>9</v>
      </c>
      <c r="C171" s="6">
        <v>2</v>
      </c>
      <c r="D171" s="17">
        <f>D170+12</f>
        <v>90</v>
      </c>
      <c r="E171">
        <v>0.81</v>
      </c>
    </row>
    <row r="172" spans="1:5" x14ac:dyDescent="0.25">
      <c r="A172" s="8" t="s">
        <v>42</v>
      </c>
      <c r="B172" s="6" t="s">
        <v>9</v>
      </c>
      <c r="C172" s="6">
        <v>2</v>
      </c>
      <c r="D172" s="17">
        <v>162</v>
      </c>
      <c r="E172">
        <v>0.83</v>
      </c>
    </row>
    <row r="173" spans="1:5" x14ac:dyDescent="0.25">
      <c r="A173" s="8" t="s">
        <v>42</v>
      </c>
      <c r="B173" s="6" t="s">
        <v>9</v>
      </c>
      <c r="C173" s="6">
        <v>3</v>
      </c>
      <c r="D173">
        <v>0</v>
      </c>
      <c r="E173">
        <v>0.2</v>
      </c>
    </row>
    <row r="174" spans="1:5" x14ac:dyDescent="0.25">
      <c r="A174" s="8" t="s">
        <v>42</v>
      </c>
      <c r="B174" s="6" t="s">
        <v>9</v>
      </c>
      <c r="C174" s="6">
        <v>3</v>
      </c>
      <c r="D174" s="17">
        <v>18</v>
      </c>
      <c r="E174">
        <v>0.16</v>
      </c>
    </row>
    <row r="175" spans="1:5" x14ac:dyDescent="0.25">
      <c r="A175" s="8" t="s">
        <v>42</v>
      </c>
      <c r="B175" s="6" t="s">
        <v>9</v>
      </c>
      <c r="C175" s="6">
        <v>3</v>
      </c>
      <c r="D175" s="17">
        <f>D174+12</f>
        <v>30</v>
      </c>
      <c r="E175">
        <v>0.2</v>
      </c>
    </row>
    <row r="176" spans="1:5" x14ac:dyDescent="0.25">
      <c r="A176" s="8" t="s">
        <v>42</v>
      </c>
      <c r="B176" s="6" t="s">
        <v>9</v>
      </c>
      <c r="C176" s="6">
        <v>3</v>
      </c>
      <c r="D176" s="17">
        <f>D175+12</f>
        <v>42</v>
      </c>
      <c r="E176">
        <v>0.17</v>
      </c>
    </row>
    <row r="177" spans="1:5" x14ac:dyDescent="0.25">
      <c r="A177" s="8" t="s">
        <v>42</v>
      </c>
      <c r="B177" s="6" t="s">
        <v>9</v>
      </c>
      <c r="C177" s="6">
        <v>3</v>
      </c>
      <c r="D177" s="17">
        <f>D176+12</f>
        <v>54</v>
      </c>
      <c r="E177">
        <v>0.3</v>
      </c>
    </row>
    <row r="178" spans="1:5" x14ac:dyDescent="0.25">
      <c r="A178" s="8" t="s">
        <v>42</v>
      </c>
      <c r="B178" s="6" t="s">
        <v>9</v>
      </c>
      <c r="C178" s="6">
        <v>3</v>
      </c>
      <c r="D178" s="17">
        <f>D177+12</f>
        <v>66</v>
      </c>
      <c r="E178">
        <v>0.45</v>
      </c>
    </row>
    <row r="179" spans="1:5" x14ac:dyDescent="0.25">
      <c r="A179" s="8" t="s">
        <v>42</v>
      </c>
      <c r="B179" s="6" t="s">
        <v>9</v>
      </c>
      <c r="C179" s="6">
        <v>3</v>
      </c>
      <c r="D179" s="17">
        <f>D178+12</f>
        <v>78</v>
      </c>
      <c r="E179">
        <v>0.67</v>
      </c>
    </row>
    <row r="180" spans="1:5" x14ac:dyDescent="0.25">
      <c r="A180" s="8" t="s">
        <v>42</v>
      </c>
      <c r="B180" s="6" t="s">
        <v>9</v>
      </c>
      <c r="C180" s="6">
        <v>3</v>
      </c>
      <c r="D180" s="17">
        <f>D179+12</f>
        <v>90</v>
      </c>
      <c r="E180">
        <v>0.65</v>
      </c>
    </row>
    <row r="181" spans="1:5" x14ac:dyDescent="0.25">
      <c r="A181" s="8" t="s">
        <v>42</v>
      </c>
      <c r="B181" s="6" t="s">
        <v>9</v>
      </c>
      <c r="C181" s="6">
        <v>3</v>
      </c>
      <c r="D181" s="17">
        <v>162</v>
      </c>
      <c r="E181">
        <v>0.86</v>
      </c>
    </row>
    <row r="182" spans="1:5" x14ac:dyDescent="0.25">
      <c r="A182" s="8" t="s">
        <v>43</v>
      </c>
      <c r="B182" s="6" t="s">
        <v>9</v>
      </c>
      <c r="C182" s="6">
        <v>1</v>
      </c>
      <c r="D182">
        <v>0</v>
      </c>
      <c r="E182">
        <v>0.2</v>
      </c>
    </row>
    <row r="183" spans="1:5" x14ac:dyDescent="0.25">
      <c r="A183" s="8" t="s">
        <v>43</v>
      </c>
      <c r="B183" s="6" t="s">
        <v>9</v>
      </c>
      <c r="C183" s="6">
        <v>1</v>
      </c>
      <c r="D183" s="17">
        <v>18</v>
      </c>
      <c r="E183" s="11">
        <v>0.14000000000000001</v>
      </c>
    </row>
    <row r="184" spans="1:5" x14ac:dyDescent="0.25">
      <c r="A184" s="8" t="s">
        <v>43</v>
      </c>
      <c r="B184" s="6" t="s">
        <v>9</v>
      </c>
      <c r="C184" s="6">
        <v>1</v>
      </c>
      <c r="D184" s="17">
        <f>D183+12</f>
        <v>30</v>
      </c>
      <c r="E184" s="11">
        <v>0.18</v>
      </c>
    </row>
    <row r="185" spans="1:5" x14ac:dyDescent="0.25">
      <c r="A185" s="8" t="s">
        <v>43</v>
      </c>
      <c r="B185" s="6" t="s">
        <v>9</v>
      </c>
      <c r="C185" s="6">
        <v>1</v>
      </c>
      <c r="D185" s="17">
        <f>D184+12</f>
        <v>42</v>
      </c>
      <c r="E185" s="11">
        <v>0.28000000000000003</v>
      </c>
    </row>
    <row r="186" spans="1:5" x14ac:dyDescent="0.25">
      <c r="A186" s="8" t="s">
        <v>43</v>
      </c>
      <c r="B186" s="6" t="s">
        <v>9</v>
      </c>
      <c r="C186" s="6">
        <v>1</v>
      </c>
      <c r="D186" s="17">
        <f>D185+12</f>
        <v>54</v>
      </c>
      <c r="E186" s="11">
        <v>0.38</v>
      </c>
    </row>
    <row r="187" spans="1:5" x14ac:dyDescent="0.25">
      <c r="A187" s="8" t="s">
        <v>43</v>
      </c>
      <c r="B187" s="6" t="s">
        <v>9</v>
      </c>
      <c r="C187" s="6">
        <v>1</v>
      </c>
      <c r="D187" s="17">
        <f>D186+12</f>
        <v>66</v>
      </c>
      <c r="E187" s="11">
        <v>0.34</v>
      </c>
    </row>
    <row r="188" spans="1:5" x14ac:dyDescent="0.25">
      <c r="A188" s="8" t="s">
        <v>43</v>
      </c>
      <c r="B188" s="6" t="s">
        <v>9</v>
      </c>
      <c r="C188" s="6">
        <v>1</v>
      </c>
      <c r="D188" s="17">
        <f>D187+12</f>
        <v>78</v>
      </c>
      <c r="E188" s="11">
        <v>0.57999999999999996</v>
      </c>
    </row>
    <row r="189" spans="1:5" x14ac:dyDescent="0.25">
      <c r="A189" s="8" t="s">
        <v>43</v>
      </c>
      <c r="B189" s="6" t="s">
        <v>9</v>
      </c>
      <c r="C189" s="6">
        <v>1</v>
      </c>
      <c r="D189" s="17">
        <f>D188+12</f>
        <v>90</v>
      </c>
      <c r="E189" s="11">
        <v>1.03</v>
      </c>
    </row>
    <row r="190" spans="1:5" x14ac:dyDescent="0.25">
      <c r="A190" s="8" t="s">
        <v>43</v>
      </c>
      <c r="B190" s="6" t="s">
        <v>9</v>
      </c>
      <c r="C190" s="6">
        <v>1</v>
      </c>
      <c r="D190" s="17">
        <v>162</v>
      </c>
      <c r="E190" s="12">
        <v>1.75</v>
      </c>
    </row>
    <row r="191" spans="1:5" x14ac:dyDescent="0.25">
      <c r="A191" s="8" t="s">
        <v>43</v>
      </c>
      <c r="B191" s="6" t="s">
        <v>9</v>
      </c>
      <c r="C191" s="6">
        <v>2</v>
      </c>
      <c r="D191">
        <v>0</v>
      </c>
      <c r="E191">
        <v>0.2</v>
      </c>
    </row>
    <row r="192" spans="1:5" x14ac:dyDescent="0.25">
      <c r="A192" s="8" t="s">
        <v>43</v>
      </c>
      <c r="B192" s="6" t="s">
        <v>9</v>
      </c>
      <c r="C192" s="6">
        <v>2</v>
      </c>
      <c r="D192" s="17">
        <v>18</v>
      </c>
      <c r="E192" s="11">
        <v>0.16</v>
      </c>
    </row>
    <row r="193" spans="1:5" x14ac:dyDescent="0.25">
      <c r="A193" s="8" t="s">
        <v>43</v>
      </c>
      <c r="B193" s="6" t="s">
        <v>9</v>
      </c>
      <c r="C193" s="6">
        <v>2</v>
      </c>
      <c r="D193" s="17">
        <f>D192+12</f>
        <v>30</v>
      </c>
      <c r="E193" s="11">
        <v>0.19</v>
      </c>
    </row>
    <row r="194" spans="1:5" x14ac:dyDescent="0.25">
      <c r="A194" s="8" t="s">
        <v>43</v>
      </c>
      <c r="B194" s="6" t="s">
        <v>9</v>
      </c>
      <c r="C194" s="6">
        <v>2</v>
      </c>
      <c r="D194" s="17">
        <f>D193+12</f>
        <v>42</v>
      </c>
      <c r="E194" s="11">
        <v>0.41</v>
      </c>
    </row>
    <row r="195" spans="1:5" x14ac:dyDescent="0.25">
      <c r="A195" s="8" t="s">
        <v>43</v>
      </c>
      <c r="B195" s="6" t="s">
        <v>9</v>
      </c>
      <c r="C195" s="6">
        <v>2</v>
      </c>
      <c r="D195" s="17">
        <f>D194+12</f>
        <v>54</v>
      </c>
      <c r="E195" s="11">
        <v>0.42</v>
      </c>
    </row>
    <row r="196" spans="1:5" x14ac:dyDescent="0.25">
      <c r="A196" s="8" t="s">
        <v>43</v>
      </c>
      <c r="B196" s="6" t="s">
        <v>9</v>
      </c>
      <c r="C196" s="6">
        <v>2</v>
      </c>
      <c r="D196" s="17">
        <f>D195+12</f>
        <v>66</v>
      </c>
      <c r="E196" s="11">
        <v>0.42</v>
      </c>
    </row>
    <row r="197" spans="1:5" x14ac:dyDescent="0.25">
      <c r="A197" s="8" t="s">
        <v>43</v>
      </c>
      <c r="B197" s="6" t="s">
        <v>9</v>
      </c>
      <c r="C197" s="6">
        <v>2</v>
      </c>
      <c r="D197" s="17">
        <f>D196+12</f>
        <v>78</v>
      </c>
      <c r="E197" s="11">
        <v>0.68</v>
      </c>
    </row>
    <row r="198" spans="1:5" x14ac:dyDescent="0.25">
      <c r="A198" s="8" t="s">
        <v>43</v>
      </c>
      <c r="B198" s="6" t="s">
        <v>9</v>
      </c>
      <c r="C198" s="6">
        <v>2</v>
      </c>
      <c r="D198" s="17">
        <f>D197+12</f>
        <v>90</v>
      </c>
      <c r="E198" s="11">
        <v>1.02</v>
      </c>
    </row>
    <row r="199" spans="1:5" x14ac:dyDescent="0.25">
      <c r="A199" s="8" t="s">
        <v>43</v>
      </c>
      <c r="B199" s="6" t="s">
        <v>9</v>
      </c>
      <c r="C199" s="6">
        <v>2</v>
      </c>
      <c r="D199" s="17">
        <v>162</v>
      </c>
      <c r="E199" s="12">
        <v>1.65</v>
      </c>
    </row>
    <row r="200" spans="1:5" x14ac:dyDescent="0.25">
      <c r="A200" s="8" t="s">
        <v>43</v>
      </c>
      <c r="B200" s="6" t="s">
        <v>9</v>
      </c>
      <c r="C200" s="6">
        <v>3</v>
      </c>
      <c r="D200">
        <v>0</v>
      </c>
      <c r="E200">
        <v>0.2</v>
      </c>
    </row>
    <row r="201" spans="1:5" x14ac:dyDescent="0.25">
      <c r="A201" s="8" t="s">
        <v>43</v>
      </c>
      <c r="B201" s="6" t="s">
        <v>9</v>
      </c>
      <c r="C201" s="6">
        <v>3</v>
      </c>
      <c r="D201" s="17">
        <v>18</v>
      </c>
      <c r="E201" s="11">
        <v>0.15</v>
      </c>
    </row>
    <row r="202" spans="1:5" x14ac:dyDescent="0.25">
      <c r="A202" s="8" t="s">
        <v>43</v>
      </c>
      <c r="B202" s="6" t="s">
        <v>9</v>
      </c>
      <c r="C202" s="6">
        <v>3</v>
      </c>
      <c r="D202" s="17">
        <f>D201+12</f>
        <v>30</v>
      </c>
      <c r="E202" s="11">
        <v>0.23</v>
      </c>
    </row>
    <row r="203" spans="1:5" x14ac:dyDescent="0.25">
      <c r="A203" s="8" t="s">
        <v>43</v>
      </c>
      <c r="B203" s="6" t="s">
        <v>9</v>
      </c>
      <c r="C203" s="6">
        <v>3</v>
      </c>
      <c r="D203" s="17">
        <f>D202+12</f>
        <v>42</v>
      </c>
      <c r="E203" s="11">
        <v>0.38</v>
      </c>
    </row>
    <row r="204" spans="1:5" x14ac:dyDescent="0.25">
      <c r="A204" s="8" t="s">
        <v>43</v>
      </c>
      <c r="B204" s="6" t="s">
        <v>9</v>
      </c>
      <c r="C204" s="6">
        <v>3</v>
      </c>
      <c r="D204" s="17">
        <f>D203+12</f>
        <v>54</v>
      </c>
      <c r="E204" s="11">
        <v>0.44</v>
      </c>
    </row>
    <row r="205" spans="1:5" x14ac:dyDescent="0.25">
      <c r="A205" s="8" t="s">
        <v>43</v>
      </c>
      <c r="B205" s="6" t="s">
        <v>9</v>
      </c>
      <c r="C205" s="6">
        <v>3</v>
      </c>
      <c r="D205" s="17">
        <f>D204+12</f>
        <v>66</v>
      </c>
      <c r="E205" s="11">
        <v>0.56000000000000005</v>
      </c>
    </row>
    <row r="206" spans="1:5" x14ac:dyDescent="0.25">
      <c r="A206" s="8" t="s">
        <v>43</v>
      </c>
      <c r="B206" s="6" t="s">
        <v>9</v>
      </c>
      <c r="C206" s="6">
        <v>3</v>
      </c>
      <c r="D206" s="17">
        <f>D205+12</f>
        <v>78</v>
      </c>
      <c r="E206" s="11">
        <v>0.95</v>
      </c>
    </row>
    <row r="207" spans="1:5" x14ac:dyDescent="0.25">
      <c r="A207" s="8" t="s">
        <v>43</v>
      </c>
      <c r="B207" s="6" t="s">
        <v>9</v>
      </c>
      <c r="C207" s="6">
        <v>3</v>
      </c>
      <c r="D207" s="17">
        <f>D206+12</f>
        <v>90</v>
      </c>
      <c r="E207" s="11">
        <v>1.35</v>
      </c>
    </row>
    <row r="208" spans="1:5" x14ac:dyDescent="0.25">
      <c r="A208" s="8" t="s">
        <v>43</v>
      </c>
      <c r="B208" s="6" t="s">
        <v>9</v>
      </c>
      <c r="C208" s="6">
        <v>3</v>
      </c>
      <c r="D208" s="17">
        <v>162</v>
      </c>
      <c r="E208" s="12">
        <v>1.69</v>
      </c>
    </row>
    <row r="209" spans="1:5" x14ac:dyDescent="0.25">
      <c r="A209" s="8" t="s">
        <v>44</v>
      </c>
      <c r="B209" s="6" t="s">
        <v>9</v>
      </c>
      <c r="C209" s="6">
        <v>1</v>
      </c>
      <c r="D209">
        <v>0</v>
      </c>
      <c r="E209">
        <v>0.2</v>
      </c>
    </row>
    <row r="210" spans="1:5" x14ac:dyDescent="0.25">
      <c r="A210" s="8" t="s">
        <v>44</v>
      </c>
      <c r="B210" s="6" t="s">
        <v>9</v>
      </c>
      <c r="C210" s="6">
        <v>1</v>
      </c>
      <c r="D210" s="17">
        <v>18</v>
      </c>
      <c r="E210" s="11">
        <v>0.25</v>
      </c>
    </row>
    <row r="211" spans="1:5" x14ac:dyDescent="0.25">
      <c r="A211" s="8" t="s">
        <v>44</v>
      </c>
      <c r="B211" s="6" t="s">
        <v>9</v>
      </c>
      <c r="C211" s="6">
        <v>1</v>
      </c>
      <c r="D211" s="17">
        <f>D210+12</f>
        <v>30</v>
      </c>
      <c r="E211" s="11">
        <v>0.32</v>
      </c>
    </row>
    <row r="212" spans="1:5" x14ac:dyDescent="0.25">
      <c r="A212" s="8" t="s">
        <v>44</v>
      </c>
      <c r="B212" s="6" t="s">
        <v>9</v>
      </c>
      <c r="C212" s="6">
        <v>1</v>
      </c>
      <c r="D212" s="17">
        <f>D211+12</f>
        <v>42</v>
      </c>
      <c r="E212" s="11">
        <v>0.6</v>
      </c>
    </row>
    <row r="213" spans="1:5" x14ac:dyDescent="0.25">
      <c r="A213" s="8" t="s">
        <v>44</v>
      </c>
      <c r="B213" s="6" t="s">
        <v>9</v>
      </c>
      <c r="C213" s="6">
        <v>1</v>
      </c>
      <c r="D213" s="17">
        <f>D212+12</f>
        <v>54</v>
      </c>
      <c r="E213" s="11">
        <v>1.03</v>
      </c>
    </row>
    <row r="214" spans="1:5" x14ac:dyDescent="0.25">
      <c r="A214" s="8" t="s">
        <v>44</v>
      </c>
      <c r="B214" s="6" t="s">
        <v>9</v>
      </c>
      <c r="C214" s="6">
        <v>1</v>
      </c>
      <c r="D214" s="17">
        <f>D213+12</f>
        <v>66</v>
      </c>
      <c r="E214" s="11">
        <v>1.1200000000000001</v>
      </c>
    </row>
    <row r="215" spans="1:5" x14ac:dyDescent="0.25">
      <c r="A215" s="8" t="s">
        <v>44</v>
      </c>
      <c r="B215" s="6" t="s">
        <v>9</v>
      </c>
      <c r="C215" s="6">
        <v>1</v>
      </c>
      <c r="D215" s="17">
        <f>D214+12</f>
        <v>78</v>
      </c>
      <c r="E215" s="11">
        <v>1.28</v>
      </c>
    </row>
    <row r="216" spans="1:5" x14ac:dyDescent="0.25">
      <c r="A216" s="8" t="s">
        <v>44</v>
      </c>
      <c r="B216" s="6" t="s">
        <v>9</v>
      </c>
      <c r="C216" s="6">
        <v>1</v>
      </c>
      <c r="D216" s="17">
        <f>D215+12</f>
        <v>90</v>
      </c>
      <c r="E216" s="11">
        <v>1.82</v>
      </c>
    </row>
    <row r="217" spans="1:5" x14ac:dyDescent="0.25">
      <c r="A217" s="8" t="s">
        <v>44</v>
      </c>
      <c r="B217" s="6" t="s">
        <v>9</v>
      </c>
      <c r="C217" s="6">
        <v>1</v>
      </c>
      <c r="D217" s="17">
        <v>162</v>
      </c>
      <c r="E217" s="12">
        <v>1.88</v>
      </c>
    </row>
    <row r="218" spans="1:5" x14ac:dyDescent="0.25">
      <c r="A218" s="8" t="s">
        <v>44</v>
      </c>
      <c r="B218" s="6" t="s">
        <v>9</v>
      </c>
      <c r="C218" s="6">
        <v>2</v>
      </c>
      <c r="D218">
        <v>0</v>
      </c>
      <c r="E218">
        <v>0.2</v>
      </c>
    </row>
    <row r="219" spans="1:5" x14ac:dyDescent="0.25">
      <c r="A219" s="8" t="s">
        <v>44</v>
      </c>
      <c r="B219" s="6" t="s">
        <v>9</v>
      </c>
      <c r="C219" s="6">
        <v>2</v>
      </c>
      <c r="D219" s="17">
        <v>18</v>
      </c>
      <c r="E219" s="11">
        <v>0.22</v>
      </c>
    </row>
    <row r="220" spans="1:5" x14ac:dyDescent="0.25">
      <c r="A220" s="8" t="s">
        <v>44</v>
      </c>
      <c r="B220" s="6" t="s">
        <v>9</v>
      </c>
      <c r="C220" s="6">
        <v>2</v>
      </c>
      <c r="D220" s="17">
        <f>D219+12</f>
        <v>30</v>
      </c>
      <c r="E220" s="11">
        <v>0.41</v>
      </c>
    </row>
    <row r="221" spans="1:5" x14ac:dyDescent="0.25">
      <c r="A221" s="8" t="s">
        <v>44</v>
      </c>
      <c r="B221" s="6" t="s">
        <v>9</v>
      </c>
      <c r="C221" s="6">
        <v>2</v>
      </c>
      <c r="D221" s="17">
        <f>D220+12</f>
        <v>42</v>
      </c>
      <c r="E221" s="11">
        <v>0.67</v>
      </c>
    </row>
    <row r="222" spans="1:5" x14ac:dyDescent="0.25">
      <c r="A222" s="8" t="s">
        <v>44</v>
      </c>
      <c r="B222" s="6" t="s">
        <v>9</v>
      </c>
      <c r="C222" s="6">
        <v>2</v>
      </c>
      <c r="D222" s="17">
        <f>D221+12</f>
        <v>54</v>
      </c>
      <c r="E222" s="11">
        <v>0.83</v>
      </c>
    </row>
    <row r="223" spans="1:5" x14ac:dyDescent="0.25">
      <c r="A223" s="8" t="s">
        <v>44</v>
      </c>
      <c r="B223" s="6" t="s">
        <v>9</v>
      </c>
      <c r="C223" s="6">
        <v>2</v>
      </c>
      <c r="D223" s="17">
        <f>D222+12</f>
        <v>66</v>
      </c>
      <c r="E223" s="11">
        <v>0.92</v>
      </c>
    </row>
    <row r="224" spans="1:5" x14ac:dyDescent="0.25">
      <c r="A224" s="8" t="s">
        <v>44</v>
      </c>
      <c r="B224" s="6" t="s">
        <v>9</v>
      </c>
      <c r="C224" s="6">
        <v>2</v>
      </c>
      <c r="D224" s="17">
        <f>D223+12</f>
        <v>78</v>
      </c>
      <c r="E224" s="11">
        <v>1.52</v>
      </c>
    </row>
    <row r="225" spans="1:5" x14ac:dyDescent="0.25">
      <c r="A225" s="8" t="s">
        <v>44</v>
      </c>
      <c r="B225" s="6" t="s">
        <v>9</v>
      </c>
      <c r="C225" s="6">
        <v>2</v>
      </c>
      <c r="D225" s="17">
        <f>D224+12</f>
        <v>90</v>
      </c>
      <c r="E225" s="11">
        <v>1.82</v>
      </c>
    </row>
    <row r="226" spans="1:5" x14ac:dyDescent="0.25">
      <c r="A226" s="8" t="s">
        <v>44</v>
      </c>
      <c r="B226" s="6" t="s">
        <v>9</v>
      </c>
      <c r="C226" s="6">
        <v>2</v>
      </c>
      <c r="D226" s="17">
        <v>162</v>
      </c>
      <c r="E226" s="12">
        <v>2.85</v>
      </c>
    </row>
    <row r="227" spans="1:5" x14ac:dyDescent="0.25">
      <c r="A227" s="8" t="s">
        <v>44</v>
      </c>
      <c r="B227" s="6" t="s">
        <v>9</v>
      </c>
      <c r="C227" s="6">
        <v>3</v>
      </c>
      <c r="D227">
        <v>0</v>
      </c>
      <c r="E227">
        <v>0.2</v>
      </c>
    </row>
    <row r="228" spans="1:5" x14ac:dyDescent="0.25">
      <c r="A228" s="8" t="s">
        <v>44</v>
      </c>
      <c r="B228" s="6" t="s">
        <v>9</v>
      </c>
      <c r="C228" s="6">
        <v>3</v>
      </c>
      <c r="D228" s="17">
        <v>18</v>
      </c>
      <c r="E228" s="11">
        <v>0.21</v>
      </c>
    </row>
    <row r="229" spans="1:5" x14ac:dyDescent="0.25">
      <c r="A229" s="8" t="s">
        <v>44</v>
      </c>
      <c r="B229" s="6" t="s">
        <v>9</v>
      </c>
      <c r="C229" s="6">
        <v>3</v>
      </c>
      <c r="D229" s="17">
        <f>D228+12</f>
        <v>30</v>
      </c>
      <c r="E229" s="11">
        <v>0.32</v>
      </c>
    </row>
    <row r="230" spans="1:5" x14ac:dyDescent="0.25">
      <c r="A230" s="8" t="s">
        <v>44</v>
      </c>
      <c r="B230" s="6" t="s">
        <v>9</v>
      </c>
      <c r="C230" s="6">
        <v>3</v>
      </c>
      <c r="D230" s="17">
        <f>D229+12</f>
        <v>42</v>
      </c>
      <c r="E230" s="11">
        <v>0.57999999999999996</v>
      </c>
    </row>
    <row r="231" spans="1:5" x14ac:dyDescent="0.25">
      <c r="A231" s="8" t="s">
        <v>44</v>
      </c>
      <c r="B231" s="6" t="s">
        <v>9</v>
      </c>
      <c r="C231" s="6">
        <v>3</v>
      </c>
      <c r="D231" s="17">
        <f>D230+12</f>
        <v>54</v>
      </c>
      <c r="E231" s="11">
        <v>0.72</v>
      </c>
    </row>
    <row r="232" spans="1:5" x14ac:dyDescent="0.25">
      <c r="A232" s="8" t="s">
        <v>44</v>
      </c>
      <c r="B232" s="6" t="s">
        <v>9</v>
      </c>
      <c r="C232" s="6">
        <v>3</v>
      </c>
      <c r="D232" s="17">
        <f>D231+12</f>
        <v>66</v>
      </c>
      <c r="E232" s="11">
        <v>0.98</v>
      </c>
    </row>
    <row r="233" spans="1:5" x14ac:dyDescent="0.25">
      <c r="A233" s="8" t="s">
        <v>44</v>
      </c>
      <c r="B233" s="6" t="s">
        <v>9</v>
      </c>
      <c r="C233" s="6">
        <v>3</v>
      </c>
      <c r="D233" s="17">
        <f>D232+12</f>
        <v>78</v>
      </c>
      <c r="E233" s="11">
        <v>1.07</v>
      </c>
    </row>
    <row r="234" spans="1:5" x14ac:dyDescent="0.25">
      <c r="A234" s="8" t="s">
        <v>44</v>
      </c>
      <c r="B234" s="6" t="s">
        <v>9</v>
      </c>
      <c r="C234" s="6">
        <v>3</v>
      </c>
      <c r="D234" s="17">
        <f>D233+12</f>
        <v>90</v>
      </c>
      <c r="E234" s="11">
        <v>1.53</v>
      </c>
    </row>
    <row r="235" spans="1:5" x14ac:dyDescent="0.25">
      <c r="A235" s="8" t="s">
        <v>44</v>
      </c>
      <c r="B235" s="6" t="s">
        <v>9</v>
      </c>
      <c r="C235" s="6">
        <v>3</v>
      </c>
      <c r="D235" s="17">
        <v>162</v>
      </c>
      <c r="E235" s="12">
        <v>2.2999999999999998</v>
      </c>
    </row>
    <row r="236" spans="1:5" x14ac:dyDescent="0.25">
      <c r="A236" s="8" t="s">
        <v>45</v>
      </c>
      <c r="B236" s="6" t="s">
        <v>9</v>
      </c>
      <c r="C236" s="6">
        <v>1</v>
      </c>
      <c r="D236">
        <v>0</v>
      </c>
      <c r="E236">
        <v>0.2</v>
      </c>
    </row>
    <row r="237" spans="1:5" x14ac:dyDescent="0.25">
      <c r="A237" s="8" t="s">
        <v>45</v>
      </c>
      <c r="B237" s="6" t="s">
        <v>9</v>
      </c>
      <c r="C237" s="6">
        <v>1</v>
      </c>
      <c r="D237" s="17">
        <v>18</v>
      </c>
      <c r="E237" s="11">
        <v>0.2</v>
      </c>
    </row>
    <row r="238" spans="1:5" x14ac:dyDescent="0.25">
      <c r="A238" s="8" t="s">
        <v>45</v>
      </c>
      <c r="B238" s="6" t="s">
        <v>9</v>
      </c>
      <c r="C238" s="6">
        <v>1</v>
      </c>
      <c r="D238" s="17">
        <f>D237+12</f>
        <v>30</v>
      </c>
      <c r="E238" s="11">
        <v>0.28000000000000003</v>
      </c>
    </row>
    <row r="239" spans="1:5" x14ac:dyDescent="0.25">
      <c r="A239" s="8" t="s">
        <v>45</v>
      </c>
      <c r="B239" s="6" t="s">
        <v>9</v>
      </c>
      <c r="C239" s="6">
        <v>1</v>
      </c>
      <c r="D239" s="17">
        <f>D238+12</f>
        <v>42</v>
      </c>
      <c r="E239" s="11">
        <v>0.45</v>
      </c>
    </row>
    <row r="240" spans="1:5" x14ac:dyDescent="0.25">
      <c r="A240" s="8" t="s">
        <v>45</v>
      </c>
      <c r="B240" s="6" t="s">
        <v>9</v>
      </c>
      <c r="C240" s="6">
        <v>1</v>
      </c>
      <c r="D240" s="17">
        <f>D239+12</f>
        <v>54</v>
      </c>
      <c r="E240" s="11">
        <v>0.53</v>
      </c>
    </row>
    <row r="241" spans="1:5" x14ac:dyDescent="0.25">
      <c r="A241" s="8" t="s">
        <v>45</v>
      </c>
      <c r="B241" s="6" t="s">
        <v>9</v>
      </c>
      <c r="C241" s="6">
        <v>1</v>
      </c>
      <c r="D241" s="17">
        <f>D240+12</f>
        <v>66</v>
      </c>
      <c r="E241" s="11">
        <v>0.45</v>
      </c>
    </row>
    <row r="242" spans="1:5" x14ac:dyDescent="0.25">
      <c r="A242" s="8" t="s">
        <v>45</v>
      </c>
      <c r="B242" s="6" t="s">
        <v>9</v>
      </c>
      <c r="C242" s="6">
        <v>1</v>
      </c>
      <c r="D242" s="17">
        <f>D241+12</f>
        <v>78</v>
      </c>
      <c r="E242" s="11">
        <v>0.75</v>
      </c>
    </row>
    <row r="243" spans="1:5" x14ac:dyDescent="0.25">
      <c r="A243" s="8" t="s">
        <v>45</v>
      </c>
      <c r="B243" s="6" t="s">
        <v>9</v>
      </c>
      <c r="C243" s="6">
        <v>1</v>
      </c>
      <c r="D243" s="17">
        <f>D242+12</f>
        <v>90</v>
      </c>
      <c r="E243" s="11">
        <v>1.3</v>
      </c>
    </row>
    <row r="244" spans="1:5" x14ac:dyDescent="0.25">
      <c r="A244" s="8" t="s">
        <v>45</v>
      </c>
      <c r="B244" s="6" t="s">
        <v>9</v>
      </c>
      <c r="C244" s="6">
        <v>1</v>
      </c>
      <c r="D244" s="17">
        <v>162</v>
      </c>
      <c r="E244" s="12">
        <v>1.44</v>
      </c>
    </row>
    <row r="245" spans="1:5" x14ac:dyDescent="0.25">
      <c r="A245" s="8" t="s">
        <v>45</v>
      </c>
      <c r="B245" s="6" t="s">
        <v>9</v>
      </c>
      <c r="C245" s="6">
        <v>2</v>
      </c>
      <c r="D245">
        <v>0</v>
      </c>
      <c r="E245">
        <v>0.2</v>
      </c>
    </row>
    <row r="246" spans="1:5" x14ac:dyDescent="0.25">
      <c r="A246" s="8" t="s">
        <v>45</v>
      </c>
      <c r="B246" s="6" t="s">
        <v>9</v>
      </c>
      <c r="C246" s="6">
        <v>2</v>
      </c>
      <c r="D246" s="17">
        <v>18</v>
      </c>
      <c r="E246" s="11">
        <v>0.18</v>
      </c>
    </row>
    <row r="247" spans="1:5" x14ac:dyDescent="0.25">
      <c r="A247" s="8" t="s">
        <v>45</v>
      </c>
      <c r="B247" s="6" t="s">
        <v>9</v>
      </c>
      <c r="C247" s="6">
        <v>2</v>
      </c>
      <c r="D247" s="17">
        <f>D246+12</f>
        <v>30</v>
      </c>
      <c r="E247" s="11">
        <v>0.21</v>
      </c>
    </row>
    <row r="248" spans="1:5" x14ac:dyDescent="0.25">
      <c r="A248" s="8" t="s">
        <v>45</v>
      </c>
      <c r="B248" s="6" t="s">
        <v>9</v>
      </c>
      <c r="C248" s="6">
        <v>2</v>
      </c>
      <c r="D248" s="17">
        <f>D247+12</f>
        <v>42</v>
      </c>
      <c r="E248" s="11">
        <v>0.28000000000000003</v>
      </c>
    </row>
    <row r="249" spans="1:5" x14ac:dyDescent="0.25">
      <c r="A249" s="8" t="s">
        <v>45</v>
      </c>
      <c r="B249" s="6" t="s">
        <v>9</v>
      </c>
      <c r="C249" s="6">
        <v>2</v>
      </c>
      <c r="D249" s="17">
        <f>D248+12</f>
        <v>54</v>
      </c>
      <c r="E249" s="11">
        <v>0.47</v>
      </c>
    </row>
    <row r="250" spans="1:5" x14ac:dyDescent="0.25">
      <c r="A250" s="8" t="s">
        <v>45</v>
      </c>
      <c r="B250" s="6" t="s">
        <v>9</v>
      </c>
      <c r="C250" s="6">
        <v>2</v>
      </c>
      <c r="D250" s="17">
        <f>D249+12</f>
        <v>66</v>
      </c>
      <c r="E250" s="11">
        <v>0.69</v>
      </c>
    </row>
    <row r="251" spans="1:5" x14ac:dyDescent="0.25">
      <c r="A251" s="8" t="s">
        <v>45</v>
      </c>
      <c r="B251" s="6" t="s">
        <v>9</v>
      </c>
      <c r="C251" s="6">
        <v>2</v>
      </c>
      <c r="D251" s="17">
        <f>D250+12</f>
        <v>78</v>
      </c>
      <c r="E251" s="11">
        <v>0.83</v>
      </c>
    </row>
    <row r="252" spans="1:5" x14ac:dyDescent="0.25">
      <c r="A252" s="8" t="s">
        <v>45</v>
      </c>
      <c r="B252" s="6" t="s">
        <v>9</v>
      </c>
      <c r="C252" s="6">
        <v>2</v>
      </c>
      <c r="D252" s="17">
        <f>D251+12</f>
        <v>90</v>
      </c>
      <c r="E252" s="11">
        <v>1.1399999999999999</v>
      </c>
    </row>
    <row r="253" spans="1:5" x14ac:dyDescent="0.25">
      <c r="A253" s="8" t="s">
        <v>45</v>
      </c>
      <c r="B253" s="6" t="s">
        <v>9</v>
      </c>
      <c r="C253" s="6">
        <v>2</v>
      </c>
      <c r="D253" s="17">
        <v>162</v>
      </c>
      <c r="E253" s="12">
        <v>1.45</v>
      </c>
    </row>
    <row r="254" spans="1:5" x14ac:dyDescent="0.25">
      <c r="A254" s="8" t="s">
        <v>45</v>
      </c>
      <c r="B254" s="6" t="s">
        <v>9</v>
      </c>
      <c r="C254" s="6">
        <v>3</v>
      </c>
      <c r="D254">
        <v>0</v>
      </c>
      <c r="E254">
        <v>0.2</v>
      </c>
    </row>
    <row r="255" spans="1:5" x14ac:dyDescent="0.25">
      <c r="A255" s="8" t="s">
        <v>45</v>
      </c>
      <c r="B255" s="6" t="s">
        <v>9</v>
      </c>
      <c r="C255" s="6">
        <v>3</v>
      </c>
      <c r="D255" s="17">
        <v>18</v>
      </c>
      <c r="E255" s="11">
        <v>0.18</v>
      </c>
    </row>
    <row r="256" spans="1:5" x14ac:dyDescent="0.25">
      <c r="A256" s="8" t="s">
        <v>45</v>
      </c>
      <c r="B256" s="6" t="s">
        <v>9</v>
      </c>
      <c r="C256" s="6">
        <v>3</v>
      </c>
      <c r="D256" s="17">
        <f>D255+12</f>
        <v>30</v>
      </c>
      <c r="E256" s="11">
        <v>0.2</v>
      </c>
    </row>
    <row r="257" spans="1:5" x14ac:dyDescent="0.25">
      <c r="A257" s="8" t="s">
        <v>45</v>
      </c>
      <c r="B257" s="6" t="s">
        <v>9</v>
      </c>
      <c r="C257" s="6">
        <v>3</v>
      </c>
      <c r="D257" s="17">
        <f>D256+12</f>
        <v>42</v>
      </c>
      <c r="E257" s="11">
        <v>0.27</v>
      </c>
    </row>
    <row r="258" spans="1:5" x14ac:dyDescent="0.25">
      <c r="A258" s="8" t="s">
        <v>45</v>
      </c>
      <c r="B258" s="6" t="s">
        <v>9</v>
      </c>
      <c r="C258" s="6">
        <v>3</v>
      </c>
      <c r="D258" s="17">
        <f>D257+12</f>
        <v>54</v>
      </c>
      <c r="E258" s="11">
        <v>0.42</v>
      </c>
    </row>
    <row r="259" spans="1:5" x14ac:dyDescent="0.25">
      <c r="A259" s="8" t="s">
        <v>45</v>
      </c>
      <c r="B259" s="6" t="s">
        <v>9</v>
      </c>
      <c r="C259" s="6">
        <v>3</v>
      </c>
      <c r="D259" s="17">
        <f>D258+12</f>
        <v>66</v>
      </c>
      <c r="E259" s="11">
        <v>0.66</v>
      </c>
    </row>
    <row r="260" spans="1:5" x14ac:dyDescent="0.25">
      <c r="A260" s="8" t="s">
        <v>45</v>
      </c>
      <c r="B260" s="6" t="s">
        <v>9</v>
      </c>
      <c r="C260" s="6">
        <v>3</v>
      </c>
      <c r="D260" s="17">
        <f>D259+12</f>
        <v>78</v>
      </c>
      <c r="E260" s="11">
        <v>0.62</v>
      </c>
    </row>
    <row r="261" spans="1:5" x14ac:dyDescent="0.25">
      <c r="A261" s="8" t="s">
        <v>45</v>
      </c>
      <c r="B261" s="6" t="s">
        <v>9</v>
      </c>
      <c r="C261" s="6">
        <v>3</v>
      </c>
      <c r="D261" s="17">
        <f>D260+12</f>
        <v>90</v>
      </c>
      <c r="E261" s="11">
        <v>1.17</v>
      </c>
    </row>
    <row r="262" spans="1:5" x14ac:dyDescent="0.25">
      <c r="A262" s="8" t="s">
        <v>45</v>
      </c>
      <c r="B262" s="6" t="s">
        <v>9</v>
      </c>
      <c r="C262" s="6">
        <v>3</v>
      </c>
      <c r="D262" s="17">
        <v>162</v>
      </c>
      <c r="E262" s="12">
        <v>1.46</v>
      </c>
    </row>
    <row r="263" spans="1:5" x14ac:dyDescent="0.25">
      <c r="A263" s="8" t="s">
        <v>46</v>
      </c>
      <c r="B263" s="6" t="s">
        <v>9</v>
      </c>
      <c r="C263" s="6">
        <v>1</v>
      </c>
      <c r="D263">
        <v>0</v>
      </c>
      <c r="E263">
        <v>0.2</v>
      </c>
    </row>
    <row r="264" spans="1:5" x14ac:dyDescent="0.25">
      <c r="A264" s="8" t="s">
        <v>46</v>
      </c>
      <c r="B264" s="6" t="s">
        <v>9</v>
      </c>
      <c r="C264" s="6">
        <v>1</v>
      </c>
      <c r="D264" s="17">
        <v>18</v>
      </c>
      <c r="E264" s="11">
        <v>0.27</v>
      </c>
    </row>
    <row r="265" spans="1:5" x14ac:dyDescent="0.25">
      <c r="A265" s="8" t="s">
        <v>46</v>
      </c>
      <c r="B265" s="6" t="s">
        <v>9</v>
      </c>
      <c r="C265" s="6">
        <v>1</v>
      </c>
      <c r="D265" s="17">
        <f>D264+12</f>
        <v>30</v>
      </c>
      <c r="E265" s="11">
        <v>0.27</v>
      </c>
    </row>
    <row r="266" spans="1:5" x14ac:dyDescent="0.25">
      <c r="A266" s="8" t="s">
        <v>46</v>
      </c>
      <c r="B266" s="6" t="s">
        <v>9</v>
      </c>
      <c r="C266" s="6">
        <v>1</v>
      </c>
      <c r="D266" s="17">
        <f>D265+12</f>
        <v>42</v>
      </c>
      <c r="E266" s="11">
        <v>0.5</v>
      </c>
    </row>
    <row r="267" spans="1:5" x14ac:dyDescent="0.25">
      <c r="A267" s="8" t="s">
        <v>46</v>
      </c>
      <c r="B267" s="6" t="s">
        <v>9</v>
      </c>
      <c r="C267" s="6">
        <v>1</v>
      </c>
      <c r="D267" s="17">
        <f>D266+12</f>
        <v>54</v>
      </c>
      <c r="E267" s="11">
        <v>0.49</v>
      </c>
    </row>
    <row r="268" spans="1:5" x14ac:dyDescent="0.25">
      <c r="A268" s="8" t="s">
        <v>46</v>
      </c>
      <c r="B268" s="6" t="s">
        <v>9</v>
      </c>
      <c r="C268" s="6">
        <v>1</v>
      </c>
      <c r="D268" s="17">
        <f>D267+12</f>
        <v>66</v>
      </c>
      <c r="E268" s="11">
        <v>0.47</v>
      </c>
    </row>
    <row r="269" spans="1:5" x14ac:dyDescent="0.25">
      <c r="A269" s="8" t="s">
        <v>46</v>
      </c>
      <c r="B269" s="6" t="s">
        <v>9</v>
      </c>
      <c r="C269" s="6">
        <v>1</v>
      </c>
      <c r="D269" s="17">
        <f>D268+12</f>
        <v>78</v>
      </c>
      <c r="E269" s="11">
        <v>0.79</v>
      </c>
    </row>
    <row r="270" spans="1:5" x14ac:dyDescent="0.25">
      <c r="A270" s="8" t="s">
        <v>46</v>
      </c>
      <c r="B270" s="6" t="s">
        <v>9</v>
      </c>
      <c r="C270" s="6">
        <v>1</v>
      </c>
      <c r="D270" s="17">
        <f>D269+12</f>
        <v>90</v>
      </c>
      <c r="E270" s="11">
        <v>0.69</v>
      </c>
    </row>
    <row r="271" spans="1:5" x14ac:dyDescent="0.25">
      <c r="A271" s="8" t="s">
        <v>46</v>
      </c>
      <c r="B271" s="6" t="s">
        <v>9</v>
      </c>
      <c r="C271" s="6">
        <v>1</v>
      </c>
      <c r="D271" s="17">
        <v>162</v>
      </c>
      <c r="E271" s="12">
        <v>1</v>
      </c>
    </row>
    <row r="272" spans="1:5" x14ac:dyDescent="0.25">
      <c r="A272" s="8" t="s">
        <v>46</v>
      </c>
      <c r="B272" s="6" t="s">
        <v>9</v>
      </c>
      <c r="C272" s="6">
        <v>2</v>
      </c>
      <c r="D272">
        <v>0</v>
      </c>
      <c r="E272">
        <v>0.2</v>
      </c>
    </row>
    <row r="273" spans="1:5" x14ac:dyDescent="0.25">
      <c r="A273" s="8" t="s">
        <v>46</v>
      </c>
      <c r="B273" s="6" t="s">
        <v>9</v>
      </c>
      <c r="C273" s="6">
        <v>2</v>
      </c>
      <c r="D273" s="17">
        <v>18</v>
      </c>
      <c r="E273" s="11">
        <v>0.23</v>
      </c>
    </row>
    <row r="274" spans="1:5" x14ac:dyDescent="0.25">
      <c r="A274" s="8" t="s">
        <v>46</v>
      </c>
      <c r="B274" s="6" t="s">
        <v>9</v>
      </c>
      <c r="C274" s="6">
        <v>2</v>
      </c>
      <c r="D274" s="17">
        <f>D273+12</f>
        <v>30</v>
      </c>
      <c r="E274" s="11">
        <v>0.3</v>
      </c>
    </row>
    <row r="275" spans="1:5" x14ac:dyDescent="0.25">
      <c r="A275" s="8" t="s">
        <v>46</v>
      </c>
      <c r="B275" s="6" t="s">
        <v>9</v>
      </c>
      <c r="C275" s="6">
        <v>2</v>
      </c>
      <c r="D275" s="17">
        <f>D274+12</f>
        <v>42</v>
      </c>
      <c r="E275" s="11">
        <v>0.47</v>
      </c>
    </row>
    <row r="276" spans="1:5" x14ac:dyDescent="0.25">
      <c r="A276" s="8" t="s">
        <v>46</v>
      </c>
      <c r="B276" s="6" t="s">
        <v>9</v>
      </c>
      <c r="C276" s="6">
        <v>2</v>
      </c>
      <c r="D276" s="17">
        <f>D275+12</f>
        <v>54</v>
      </c>
      <c r="E276" s="11">
        <v>0.56999999999999995</v>
      </c>
    </row>
    <row r="277" spans="1:5" x14ac:dyDescent="0.25">
      <c r="A277" s="8" t="s">
        <v>46</v>
      </c>
      <c r="B277" s="6" t="s">
        <v>9</v>
      </c>
      <c r="C277" s="6">
        <v>2</v>
      </c>
      <c r="D277" s="17">
        <f>D276+12</f>
        <v>66</v>
      </c>
      <c r="E277" s="11">
        <v>0.68</v>
      </c>
    </row>
    <row r="278" spans="1:5" x14ac:dyDescent="0.25">
      <c r="A278" s="8" t="s">
        <v>46</v>
      </c>
      <c r="B278" s="6" t="s">
        <v>9</v>
      </c>
      <c r="C278" s="6">
        <v>2</v>
      </c>
      <c r="D278" s="17">
        <f>D277+12</f>
        <v>78</v>
      </c>
      <c r="E278" s="11">
        <v>0.66</v>
      </c>
    </row>
    <row r="279" spans="1:5" x14ac:dyDescent="0.25">
      <c r="A279" s="8" t="s">
        <v>46</v>
      </c>
      <c r="B279" s="6" t="s">
        <v>9</v>
      </c>
      <c r="C279" s="6">
        <v>2</v>
      </c>
      <c r="D279" s="17">
        <f>D278+12</f>
        <v>90</v>
      </c>
      <c r="E279" s="11">
        <v>0.56000000000000005</v>
      </c>
    </row>
    <row r="280" spans="1:5" x14ac:dyDescent="0.25">
      <c r="A280" s="8" t="s">
        <v>46</v>
      </c>
      <c r="B280" s="6" t="s">
        <v>9</v>
      </c>
      <c r="C280" s="6">
        <v>2</v>
      </c>
      <c r="D280" s="17">
        <v>162</v>
      </c>
      <c r="E280" s="12">
        <v>1.04</v>
      </c>
    </row>
    <row r="281" spans="1:5" x14ac:dyDescent="0.25">
      <c r="A281" s="8" t="s">
        <v>46</v>
      </c>
      <c r="B281" s="6" t="s">
        <v>9</v>
      </c>
      <c r="C281" s="6">
        <v>3</v>
      </c>
      <c r="D281">
        <v>0</v>
      </c>
      <c r="E281">
        <v>0.2</v>
      </c>
    </row>
    <row r="282" spans="1:5" x14ac:dyDescent="0.25">
      <c r="A282" s="8" t="s">
        <v>46</v>
      </c>
      <c r="B282" s="6" t="s">
        <v>9</v>
      </c>
      <c r="C282" s="6">
        <v>3</v>
      </c>
      <c r="D282" s="17">
        <v>18</v>
      </c>
      <c r="E282" s="11">
        <v>0.23</v>
      </c>
    </row>
    <row r="283" spans="1:5" x14ac:dyDescent="0.25">
      <c r="A283" s="8" t="s">
        <v>46</v>
      </c>
      <c r="B283" s="6" t="s">
        <v>9</v>
      </c>
      <c r="C283" s="6">
        <v>3</v>
      </c>
      <c r="D283" s="17">
        <f>D282+12</f>
        <v>30</v>
      </c>
      <c r="E283" s="11">
        <v>0.33</v>
      </c>
    </row>
    <row r="284" spans="1:5" x14ac:dyDescent="0.25">
      <c r="A284" s="8" t="s">
        <v>46</v>
      </c>
      <c r="B284" s="6" t="s">
        <v>9</v>
      </c>
      <c r="C284" s="6">
        <v>3</v>
      </c>
      <c r="D284" s="17">
        <f>D283+12</f>
        <v>42</v>
      </c>
      <c r="E284" s="11">
        <v>0.4</v>
      </c>
    </row>
    <row r="285" spans="1:5" x14ac:dyDescent="0.25">
      <c r="A285" s="8" t="s">
        <v>46</v>
      </c>
      <c r="B285" s="6" t="s">
        <v>9</v>
      </c>
      <c r="C285" s="6">
        <v>3</v>
      </c>
      <c r="D285" s="17">
        <f>D284+12</f>
        <v>54</v>
      </c>
      <c r="E285" s="11">
        <v>0.63</v>
      </c>
    </row>
    <row r="286" spans="1:5" x14ac:dyDescent="0.25">
      <c r="A286" s="8" t="s">
        <v>46</v>
      </c>
      <c r="B286" s="6" t="s">
        <v>9</v>
      </c>
      <c r="C286" s="6">
        <v>3</v>
      </c>
      <c r="D286" s="17">
        <f>D285+12</f>
        <v>66</v>
      </c>
      <c r="E286" s="11">
        <v>0.6</v>
      </c>
    </row>
    <row r="287" spans="1:5" x14ac:dyDescent="0.25">
      <c r="A287" s="8" t="s">
        <v>46</v>
      </c>
      <c r="B287" s="6" t="s">
        <v>9</v>
      </c>
      <c r="C287" s="6">
        <v>3</v>
      </c>
      <c r="D287" s="17">
        <f>D286+12</f>
        <v>78</v>
      </c>
      <c r="E287" s="11">
        <v>0.66</v>
      </c>
    </row>
    <row r="288" spans="1:5" x14ac:dyDescent="0.25">
      <c r="A288" s="8" t="s">
        <v>46</v>
      </c>
      <c r="B288" s="6" t="s">
        <v>9</v>
      </c>
      <c r="C288" s="6">
        <v>3</v>
      </c>
      <c r="D288" s="17">
        <f>D287+12</f>
        <v>90</v>
      </c>
      <c r="E288" s="11">
        <v>1</v>
      </c>
    </row>
    <row r="289" spans="1:5" x14ac:dyDescent="0.25">
      <c r="A289" s="8" t="s">
        <v>46</v>
      </c>
      <c r="B289" s="6" t="s">
        <v>9</v>
      </c>
      <c r="C289" s="6">
        <v>3</v>
      </c>
      <c r="D289" s="17">
        <v>162</v>
      </c>
      <c r="E289" s="12">
        <v>0.98</v>
      </c>
    </row>
    <row r="290" spans="1:5" x14ac:dyDescent="0.25">
      <c r="A290" s="8" t="s">
        <v>47</v>
      </c>
      <c r="B290" s="6" t="s">
        <v>9</v>
      </c>
      <c r="C290" s="6">
        <v>1</v>
      </c>
      <c r="D290">
        <v>0</v>
      </c>
      <c r="E290">
        <v>0.2</v>
      </c>
    </row>
    <row r="291" spans="1:5" x14ac:dyDescent="0.25">
      <c r="A291" s="8" t="s">
        <v>47</v>
      </c>
      <c r="B291" s="6" t="s">
        <v>9</v>
      </c>
      <c r="C291" s="6">
        <v>1</v>
      </c>
      <c r="D291" s="17">
        <v>18</v>
      </c>
      <c r="E291">
        <v>0.26</v>
      </c>
    </row>
    <row r="292" spans="1:5" x14ac:dyDescent="0.25">
      <c r="A292" s="8" t="s">
        <v>47</v>
      </c>
      <c r="B292" s="6" t="s">
        <v>9</v>
      </c>
      <c r="C292" s="6">
        <v>1</v>
      </c>
      <c r="D292" s="17">
        <f>D291+12</f>
        <v>30</v>
      </c>
      <c r="E292">
        <v>0.41</v>
      </c>
    </row>
    <row r="293" spans="1:5" x14ac:dyDescent="0.25">
      <c r="A293" s="8" t="s">
        <v>47</v>
      </c>
      <c r="B293" s="6" t="s">
        <v>9</v>
      </c>
      <c r="C293" s="6">
        <v>1</v>
      </c>
      <c r="D293" s="17">
        <f>D292+12</f>
        <v>42</v>
      </c>
      <c r="E293">
        <v>0.56000000000000005</v>
      </c>
    </row>
    <row r="294" spans="1:5" x14ac:dyDescent="0.25">
      <c r="A294" s="8" t="s">
        <v>47</v>
      </c>
      <c r="B294" s="6" t="s">
        <v>9</v>
      </c>
      <c r="C294" s="6">
        <v>1</v>
      </c>
      <c r="D294" s="17">
        <f>D293+12</f>
        <v>54</v>
      </c>
      <c r="E294">
        <v>0.97</v>
      </c>
    </row>
    <row r="295" spans="1:5" x14ac:dyDescent="0.25">
      <c r="A295" s="8" t="s">
        <v>47</v>
      </c>
      <c r="B295" s="6" t="s">
        <v>9</v>
      </c>
      <c r="C295" s="6">
        <v>1</v>
      </c>
      <c r="D295" s="17">
        <f>D294+12</f>
        <v>66</v>
      </c>
      <c r="E295">
        <v>1.06</v>
      </c>
    </row>
    <row r="296" spans="1:5" x14ac:dyDescent="0.25">
      <c r="A296" s="8" t="s">
        <v>47</v>
      </c>
      <c r="B296" s="6" t="s">
        <v>9</v>
      </c>
      <c r="C296" s="6">
        <v>1</v>
      </c>
      <c r="D296" s="17">
        <f>D295+12</f>
        <v>78</v>
      </c>
      <c r="E296">
        <v>1.99</v>
      </c>
    </row>
    <row r="297" spans="1:5" x14ac:dyDescent="0.25">
      <c r="A297" s="8" t="s">
        <v>47</v>
      </c>
      <c r="B297" s="6" t="s">
        <v>9</v>
      </c>
      <c r="C297" s="6">
        <v>1</v>
      </c>
      <c r="D297" s="17">
        <f>D296+12</f>
        <v>90</v>
      </c>
      <c r="E297">
        <v>2.12</v>
      </c>
    </row>
    <row r="298" spans="1:5" x14ac:dyDescent="0.25">
      <c r="A298" s="8" t="s">
        <v>47</v>
      </c>
      <c r="B298" s="6" t="s">
        <v>9</v>
      </c>
      <c r="C298" s="6">
        <v>1</v>
      </c>
      <c r="D298" s="17">
        <v>162</v>
      </c>
      <c r="E298">
        <v>2.2000000000000002</v>
      </c>
    </row>
    <row r="299" spans="1:5" x14ac:dyDescent="0.25">
      <c r="A299" s="8" t="s">
        <v>47</v>
      </c>
      <c r="B299" s="6" t="s">
        <v>9</v>
      </c>
      <c r="C299" s="6">
        <v>2</v>
      </c>
      <c r="D299">
        <v>0</v>
      </c>
      <c r="E299">
        <v>0.2</v>
      </c>
    </row>
    <row r="300" spans="1:5" x14ac:dyDescent="0.25">
      <c r="A300" s="8" t="s">
        <v>47</v>
      </c>
      <c r="B300" s="6" t="s">
        <v>9</v>
      </c>
      <c r="C300" s="6">
        <v>2</v>
      </c>
      <c r="D300" s="17">
        <v>18</v>
      </c>
      <c r="E300">
        <v>0.27</v>
      </c>
    </row>
    <row r="301" spans="1:5" x14ac:dyDescent="0.25">
      <c r="A301" s="8" t="s">
        <v>47</v>
      </c>
      <c r="B301" s="6" t="s">
        <v>9</v>
      </c>
      <c r="C301" s="6">
        <v>2</v>
      </c>
      <c r="D301" s="17">
        <f>D300+12</f>
        <v>30</v>
      </c>
      <c r="E301">
        <v>0.43</v>
      </c>
    </row>
    <row r="302" spans="1:5" x14ac:dyDescent="0.25">
      <c r="A302" s="8" t="s">
        <v>47</v>
      </c>
      <c r="B302" s="6" t="s">
        <v>9</v>
      </c>
      <c r="C302" s="6">
        <v>2</v>
      </c>
      <c r="D302" s="17">
        <f>D301+12</f>
        <v>42</v>
      </c>
      <c r="E302">
        <v>0.62</v>
      </c>
    </row>
    <row r="303" spans="1:5" x14ac:dyDescent="0.25">
      <c r="A303" s="8" t="s">
        <v>47</v>
      </c>
      <c r="B303" s="6" t="s">
        <v>9</v>
      </c>
      <c r="C303" s="6">
        <v>2</v>
      </c>
      <c r="D303" s="17">
        <f>D302+12</f>
        <v>54</v>
      </c>
      <c r="E303">
        <v>0.93</v>
      </c>
    </row>
    <row r="304" spans="1:5" x14ac:dyDescent="0.25">
      <c r="A304" s="8" t="s">
        <v>47</v>
      </c>
      <c r="B304" s="6" t="s">
        <v>9</v>
      </c>
      <c r="C304" s="6">
        <v>2</v>
      </c>
      <c r="D304" s="17">
        <f>D303+12</f>
        <v>66</v>
      </c>
      <c r="E304">
        <v>1.0900000000000001</v>
      </c>
    </row>
    <row r="305" spans="1:29" x14ac:dyDescent="0.25">
      <c r="A305" s="8" t="s">
        <v>47</v>
      </c>
      <c r="B305" s="6" t="s">
        <v>9</v>
      </c>
      <c r="C305" s="6">
        <v>2</v>
      </c>
      <c r="D305" s="17">
        <f>D304+12</f>
        <v>78</v>
      </c>
      <c r="E305">
        <v>1.99</v>
      </c>
    </row>
    <row r="306" spans="1:29" x14ac:dyDescent="0.25">
      <c r="A306" s="8" t="s">
        <v>47</v>
      </c>
      <c r="B306" s="6" t="s">
        <v>9</v>
      </c>
      <c r="C306" s="6">
        <v>2</v>
      </c>
      <c r="D306" s="17">
        <f>D305+12</f>
        <v>90</v>
      </c>
      <c r="E306">
        <v>2.27</v>
      </c>
    </row>
    <row r="307" spans="1:29" x14ac:dyDescent="0.25">
      <c r="A307" s="8" t="s">
        <v>47</v>
      </c>
      <c r="B307" s="6" t="s">
        <v>9</v>
      </c>
      <c r="C307" s="6">
        <v>2</v>
      </c>
      <c r="D307" s="17">
        <v>162</v>
      </c>
      <c r="E307">
        <v>2.1800000000000002</v>
      </c>
    </row>
    <row r="308" spans="1:29" x14ac:dyDescent="0.25">
      <c r="A308" s="8" t="s">
        <v>47</v>
      </c>
      <c r="B308" s="6" t="s">
        <v>9</v>
      </c>
      <c r="C308" s="6">
        <v>3</v>
      </c>
      <c r="D308">
        <v>0</v>
      </c>
      <c r="E308">
        <v>0.2</v>
      </c>
    </row>
    <row r="309" spans="1:29" x14ac:dyDescent="0.25">
      <c r="A309" s="8" t="s">
        <v>47</v>
      </c>
      <c r="B309" s="6" t="s">
        <v>9</v>
      </c>
      <c r="C309" s="6">
        <v>3</v>
      </c>
      <c r="D309" s="17">
        <v>18</v>
      </c>
      <c r="E309">
        <v>0.28000000000000003</v>
      </c>
    </row>
    <row r="310" spans="1:29" x14ac:dyDescent="0.25">
      <c r="A310" s="8" t="s">
        <v>47</v>
      </c>
      <c r="B310" s="6" t="s">
        <v>9</v>
      </c>
      <c r="C310" s="6">
        <v>3</v>
      </c>
      <c r="D310" s="17">
        <f>D309+12</f>
        <v>30</v>
      </c>
      <c r="E310">
        <v>0.46</v>
      </c>
    </row>
    <row r="311" spans="1:29" x14ac:dyDescent="0.25">
      <c r="A311" s="8" t="s">
        <v>47</v>
      </c>
      <c r="B311" s="6" t="s">
        <v>9</v>
      </c>
      <c r="C311" s="6">
        <v>3</v>
      </c>
      <c r="D311" s="17">
        <f>D310+12</f>
        <v>42</v>
      </c>
      <c r="E311">
        <v>0.6</v>
      </c>
    </row>
    <row r="312" spans="1:29" x14ac:dyDescent="0.25">
      <c r="A312" s="8" t="s">
        <v>47</v>
      </c>
      <c r="B312" s="6" t="s">
        <v>9</v>
      </c>
      <c r="C312" s="6">
        <v>3</v>
      </c>
      <c r="D312" s="17">
        <f>D311+12</f>
        <v>54</v>
      </c>
      <c r="E312">
        <v>0.95</v>
      </c>
    </row>
    <row r="313" spans="1:29" x14ac:dyDescent="0.25">
      <c r="A313" s="8" t="s">
        <v>47</v>
      </c>
      <c r="B313" s="6" t="s">
        <v>9</v>
      </c>
      <c r="C313" s="6">
        <v>3</v>
      </c>
      <c r="D313" s="17">
        <f>D312+12</f>
        <v>66</v>
      </c>
      <c r="E313">
        <v>1.51</v>
      </c>
    </row>
    <row r="314" spans="1:29" x14ac:dyDescent="0.25">
      <c r="A314" s="8" t="s">
        <v>47</v>
      </c>
      <c r="B314" s="6" t="s">
        <v>9</v>
      </c>
      <c r="C314" s="6">
        <v>3</v>
      </c>
      <c r="D314" s="17">
        <f>D313+12</f>
        <v>78</v>
      </c>
      <c r="E314">
        <v>2.0099999999999998</v>
      </c>
    </row>
    <row r="315" spans="1:29" x14ac:dyDescent="0.25">
      <c r="A315" s="8" t="s">
        <v>47</v>
      </c>
      <c r="B315" s="6" t="s">
        <v>9</v>
      </c>
      <c r="C315" s="6">
        <v>3</v>
      </c>
      <c r="D315" s="17">
        <f>D314+12</f>
        <v>90</v>
      </c>
      <c r="E315">
        <v>2.12</v>
      </c>
    </row>
    <row r="316" spans="1:29" x14ac:dyDescent="0.25">
      <c r="A316" s="8" t="s">
        <v>47</v>
      </c>
      <c r="B316" s="6" t="s">
        <v>9</v>
      </c>
      <c r="C316" s="6">
        <v>3</v>
      </c>
      <c r="D316" s="17">
        <v>162</v>
      </c>
      <c r="E316">
        <v>2.25</v>
      </c>
      <c r="R316" s="8"/>
      <c r="S316" s="7"/>
      <c r="T316" s="7"/>
      <c r="U316" s="7"/>
      <c r="V316" s="8"/>
      <c r="W316" s="7"/>
      <c r="X316" s="7"/>
      <c r="Y316" s="7"/>
      <c r="Z316" s="8"/>
      <c r="AA316" s="7"/>
      <c r="AB316" s="7"/>
      <c r="AC316" s="7"/>
    </row>
    <row r="317" spans="1:29" x14ac:dyDescent="0.25">
      <c r="A317" s="8" t="s">
        <v>48</v>
      </c>
      <c r="B317" s="6" t="s">
        <v>9</v>
      </c>
      <c r="C317" s="6">
        <v>1</v>
      </c>
      <c r="D317">
        <v>0</v>
      </c>
      <c r="E317">
        <v>0.2</v>
      </c>
      <c r="H317" s="8"/>
      <c r="I317" s="6"/>
      <c r="J317" s="6"/>
    </row>
    <row r="318" spans="1:29" x14ac:dyDescent="0.25">
      <c r="A318" s="8" t="s">
        <v>48</v>
      </c>
      <c r="B318" s="6" t="s">
        <v>9</v>
      </c>
      <c r="C318" s="6">
        <v>1</v>
      </c>
      <c r="D318" s="17">
        <v>18</v>
      </c>
      <c r="E318" s="11">
        <v>0.17</v>
      </c>
      <c r="H318" s="8"/>
      <c r="I318" s="6"/>
      <c r="J318" s="6"/>
      <c r="K318" s="17"/>
      <c r="L318" s="11"/>
    </row>
    <row r="319" spans="1:29" x14ac:dyDescent="0.25">
      <c r="A319" s="8" t="s">
        <v>48</v>
      </c>
      <c r="B319" s="6" t="s">
        <v>9</v>
      </c>
      <c r="C319" s="6">
        <v>1</v>
      </c>
      <c r="D319" s="17">
        <f>D318+12</f>
        <v>30</v>
      </c>
      <c r="E319">
        <v>0.09</v>
      </c>
      <c r="H319" s="8"/>
      <c r="I319" s="6"/>
      <c r="J319" s="6"/>
      <c r="K319" s="17"/>
      <c r="R319" s="17"/>
      <c r="S319" s="11"/>
      <c r="T319" s="11"/>
      <c r="U319" s="11"/>
      <c r="V319" s="17"/>
      <c r="W319" s="11"/>
      <c r="X319" s="11"/>
      <c r="Y319" s="11"/>
      <c r="Z319" s="17"/>
      <c r="AA319" s="11"/>
      <c r="AB319" s="11"/>
      <c r="AC319" s="11"/>
    </row>
    <row r="320" spans="1:29" x14ac:dyDescent="0.25">
      <c r="A320" s="8" t="s">
        <v>48</v>
      </c>
      <c r="B320" s="6" t="s">
        <v>9</v>
      </c>
      <c r="C320" s="6">
        <v>1</v>
      </c>
      <c r="D320" s="17">
        <f>D319+12</f>
        <v>42</v>
      </c>
      <c r="E320">
        <v>0.2</v>
      </c>
      <c r="H320" s="8"/>
      <c r="I320" s="6"/>
      <c r="J320" s="6"/>
      <c r="K320" s="17"/>
      <c r="R320" s="17"/>
      <c r="V320" s="17"/>
      <c r="Z320" s="17"/>
    </row>
    <row r="321" spans="1:26" x14ac:dyDescent="0.25">
      <c r="A321" s="8" t="s">
        <v>48</v>
      </c>
      <c r="B321" s="6" t="s">
        <v>9</v>
      </c>
      <c r="C321" s="6">
        <v>1</v>
      </c>
      <c r="D321" s="17">
        <f>D320+12</f>
        <v>54</v>
      </c>
      <c r="E321">
        <v>0.18</v>
      </c>
      <c r="H321" s="8"/>
      <c r="I321" s="6"/>
      <c r="J321" s="6"/>
      <c r="K321" s="17"/>
      <c r="R321" s="17"/>
      <c r="V321" s="17"/>
      <c r="Z321" s="17"/>
    </row>
    <row r="322" spans="1:26" x14ac:dyDescent="0.25">
      <c r="A322" s="8" t="s">
        <v>48</v>
      </c>
      <c r="B322" s="6" t="s">
        <v>9</v>
      </c>
      <c r="C322" s="6">
        <v>1</v>
      </c>
      <c r="D322" s="17">
        <f>D321+12</f>
        <v>66</v>
      </c>
      <c r="E322">
        <v>0.2</v>
      </c>
      <c r="H322" s="8"/>
      <c r="I322" s="6"/>
      <c r="J322" s="6"/>
      <c r="K322" s="17"/>
      <c r="R322" s="17"/>
      <c r="V322" s="17"/>
      <c r="Z322" s="17"/>
    </row>
    <row r="323" spans="1:26" x14ac:dyDescent="0.25">
      <c r="A323" s="8" t="s">
        <v>48</v>
      </c>
      <c r="B323" s="6" t="s">
        <v>9</v>
      </c>
      <c r="C323" s="6">
        <v>1</v>
      </c>
      <c r="D323" s="17">
        <f>D322+12</f>
        <v>78</v>
      </c>
      <c r="E323">
        <v>0.14000000000000001</v>
      </c>
      <c r="H323" s="8"/>
      <c r="I323" s="6"/>
      <c r="J323" s="6"/>
      <c r="K323" s="17"/>
      <c r="R323" s="17"/>
      <c r="V323" s="17"/>
      <c r="Z323" s="17"/>
    </row>
    <row r="324" spans="1:26" x14ac:dyDescent="0.25">
      <c r="A324" s="8" t="s">
        <v>48</v>
      </c>
      <c r="B324" s="6" t="s">
        <v>9</v>
      </c>
      <c r="C324" s="6">
        <v>1</v>
      </c>
      <c r="D324" s="17">
        <f>D323+12</f>
        <v>90</v>
      </c>
      <c r="E324">
        <v>0.2</v>
      </c>
      <c r="H324" s="8"/>
      <c r="I324" s="6"/>
      <c r="J324" s="6"/>
      <c r="K324" s="17"/>
      <c r="R324" s="17"/>
      <c r="V324" s="17"/>
      <c r="Z324" s="17"/>
    </row>
    <row r="325" spans="1:26" x14ac:dyDescent="0.25">
      <c r="A325" s="8" t="s">
        <v>48</v>
      </c>
      <c r="B325" s="6" t="s">
        <v>9</v>
      </c>
      <c r="C325" s="6">
        <v>1</v>
      </c>
      <c r="D325" s="17">
        <v>162</v>
      </c>
      <c r="E325">
        <v>1.68</v>
      </c>
      <c r="H325" s="8"/>
      <c r="I325" s="6"/>
      <c r="J325" s="6"/>
      <c r="K325" s="17"/>
      <c r="R325" s="17"/>
      <c r="V325" s="17"/>
      <c r="Z325" s="17"/>
    </row>
    <row r="326" spans="1:26" x14ac:dyDescent="0.25">
      <c r="A326" s="8" t="s">
        <v>48</v>
      </c>
      <c r="B326" s="6" t="s">
        <v>9</v>
      </c>
      <c r="C326" s="6">
        <v>2</v>
      </c>
      <c r="D326">
        <v>0</v>
      </c>
      <c r="E326">
        <v>0.2</v>
      </c>
      <c r="H326" s="8"/>
      <c r="I326" s="6"/>
      <c r="J326" s="6"/>
      <c r="R326" s="17"/>
      <c r="V326" s="17"/>
      <c r="Z326" s="17"/>
    </row>
    <row r="327" spans="1:26" x14ac:dyDescent="0.25">
      <c r="A327" s="8" t="s">
        <v>48</v>
      </c>
      <c r="B327" s="6" t="s">
        <v>9</v>
      </c>
      <c r="C327" s="6">
        <v>2</v>
      </c>
      <c r="D327" s="17">
        <v>18</v>
      </c>
      <c r="E327" s="11">
        <v>0.16</v>
      </c>
      <c r="H327" s="8"/>
      <c r="I327" s="6"/>
      <c r="J327" s="6"/>
      <c r="K327" s="17"/>
      <c r="L327" s="11"/>
    </row>
    <row r="328" spans="1:26" x14ac:dyDescent="0.25">
      <c r="A328" s="8" t="s">
        <v>48</v>
      </c>
      <c r="B328" s="6" t="s">
        <v>9</v>
      </c>
      <c r="C328" s="6">
        <v>2</v>
      </c>
      <c r="D328" s="17">
        <f>D327+12</f>
        <v>30</v>
      </c>
      <c r="E328">
        <v>7.0000000000000007E-2</v>
      </c>
      <c r="H328" s="8"/>
      <c r="I328" s="6"/>
      <c r="J328" s="6"/>
      <c r="K328" s="17"/>
    </row>
    <row r="329" spans="1:26" x14ac:dyDescent="0.25">
      <c r="A329" s="8" t="s">
        <v>48</v>
      </c>
      <c r="B329" s="6" t="s">
        <v>9</v>
      </c>
      <c r="C329" s="6">
        <v>2</v>
      </c>
      <c r="D329" s="17">
        <f>D328+12</f>
        <v>42</v>
      </c>
      <c r="E329">
        <v>0.13</v>
      </c>
      <c r="H329" s="8"/>
      <c r="I329" s="6"/>
      <c r="J329" s="6"/>
      <c r="K329" s="17"/>
    </row>
    <row r="330" spans="1:26" x14ac:dyDescent="0.25">
      <c r="A330" s="8" t="s">
        <v>48</v>
      </c>
      <c r="B330" s="6" t="s">
        <v>9</v>
      </c>
      <c r="C330" s="6">
        <v>2</v>
      </c>
      <c r="D330" s="17">
        <f>D329+12</f>
        <v>54</v>
      </c>
      <c r="E330">
        <v>0.16</v>
      </c>
      <c r="H330" s="8"/>
      <c r="I330" s="6"/>
      <c r="J330" s="6"/>
      <c r="K330" s="17"/>
    </row>
    <row r="331" spans="1:26" x14ac:dyDescent="0.25">
      <c r="A331" s="8" t="s">
        <v>48</v>
      </c>
      <c r="B331" s="6" t="s">
        <v>9</v>
      </c>
      <c r="C331" s="6">
        <v>2</v>
      </c>
      <c r="D331" s="17">
        <f>D330+12</f>
        <v>66</v>
      </c>
      <c r="E331">
        <v>0.22</v>
      </c>
      <c r="H331" s="8"/>
      <c r="I331" s="6"/>
      <c r="J331" s="6"/>
      <c r="K331" s="17"/>
    </row>
    <row r="332" spans="1:26" x14ac:dyDescent="0.25">
      <c r="A332" s="8" t="s">
        <v>48</v>
      </c>
      <c r="B332" s="6" t="s">
        <v>9</v>
      </c>
      <c r="C332" s="6">
        <v>2</v>
      </c>
      <c r="D332" s="17">
        <f>D331+12</f>
        <v>78</v>
      </c>
      <c r="E332">
        <v>0.14000000000000001</v>
      </c>
      <c r="H332" s="8"/>
      <c r="I332" s="6"/>
      <c r="J332" s="6"/>
      <c r="K332" s="17"/>
    </row>
    <row r="333" spans="1:26" x14ac:dyDescent="0.25">
      <c r="A333" s="8" t="s">
        <v>48</v>
      </c>
      <c r="B333" s="6" t="s">
        <v>9</v>
      </c>
      <c r="C333" s="6">
        <v>2</v>
      </c>
      <c r="D333" s="17">
        <f>D332+12</f>
        <v>90</v>
      </c>
      <c r="E333">
        <v>0.25</v>
      </c>
      <c r="H333" s="8"/>
      <c r="I333" s="6"/>
      <c r="J333" s="6"/>
      <c r="K333" s="17"/>
    </row>
    <row r="334" spans="1:26" x14ac:dyDescent="0.25">
      <c r="A334" s="8" t="s">
        <v>48</v>
      </c>
      <c r="B334" s="6" t="s">
        <v>9</v>
      </c>
      <c r="C334" s="6">
        <v>2</v>
      </c>
      <c r="D334" s="17">
        <v>162</v>
      </c>
      <c r="E334">
        <v>1.91</v>
      </c>
      <c r="H334" s="8"/>
      <c r="I334" s="6"/>
      <c r="J334" s="6"/>
      <c r="K334" s="17"/>
    </row>
    <row r="335" spans="1:26" x14ac:dyDescent="0.25">
      <c r="A335" s="8" t="s">
        <v>48</v>
      </c>
      <c r="B335" s="6" t="s">
        <v>9</v>
      </c>
      <c r="C335" s="6">
        <v>3</v>
      </c>
      <c r="D335">
        <v>0</v>
      </c>
      <c r="E335">
        <v>0.2</v>
      </c>
      <c r="H335" s="8"/>
      <c r="I335" s="6"/>
      <c r="J335" s="6"/>
    </row>
    <row r="336" spans="1:26" x14ac:dyDescent="0.25">
      <c r="A336" s="8" t="s">
        <v>48</v>
      </c>
      <c r="B336" s="6" t="s">
        <v>9</v>
      </c>
      <c r="C336" s="6">
        <v>3</v>
      </c>
      <c r="D336" s="17">
        <v>18</v>
      </c>
      <c r="E336" s="11">
        <v>0.19</v>
      </c>
      <c r="H336" s="8"/>
      <c r="I336" s="6"/>
      <c r="J336" s="6"/>
      <c r="K336" s="17"/>
      <c r="L336" s="11"/>
    </row>
    <row r="337" spans="1:12" x14ac:dyDescent="0.25">
      <c r="A337" s="8" t="s">
        <v>48</v>
      </c>
      <c r="B337" s="6" t="s">
        <v>9</v>
      </c>
      <c r="C337" s="6">
        <v>3</v>
      </c>
      <c r="D337" s="17">
        <f>D336+12</f>
        <v>30</v>
      </c>
      <c r="E337">
        <v>0.05</v>
      </c>
      <c r="H337" s="8"/>
      <c r="I337" s="6"/>
      <c r="J337" s="6"/>
      <c r="K337" s="17"/>
    </row>
    <row r="338" spans="1:12" x14ac:dyDescent="0.25">
      <c r="A338" s="8" t="s">
        <v>48</v>
      </c>
      <c r="B338" s="6" t="s">
        <v>9</v>
      </c>
      <c r="C338" s="6">
        <v>3</v>
      </c>
      <c r="D338" s="17">
        <f>D337+12</f>
        <v>42</v>
      </c>
      <c r="E338">
        <v>0.18</v>
      </c>
      <c r="H338" s="8"/>
      <c r="I338" s="6"/>
      <c r="J338" s="6"/>
      <c r="K338" s="17"/>
    </row>
    <row r="339" spans="1:12" x14ac:dyDescent="0.25">
      <c r="A339" s="8" t="s">
        <v>48</v>
      </c>
      <c r="B339" s="6" t="s">
        <v>9</v>
      </c>
      <c r="C339" s="6">
        <v>3</v>
      </c>
      <c r="D339" s="17">
        <f>D338+12</f>
        <v>54</v>
      </c>
      <c r="E339">
        <v>0.12</v>
      </c>
      <c r="H339" s="8"/>
      <c r="I339" s="6"/>
      <c r="J339" s="6"/>
      <c r="K339" s="17"/>
    </row>
    <row r="340" spans="1:12" x14ac:dyDescent="0.25">
      <c r="A340" s="8" t="s">
        <v>48</v>
      </c>
      <c r="B340" s="6" t="s">
        <v>9</v>
      </c>
      <c r="C340" s="6">
        <v>3</v>
      </c>
      <c r="D340" s="17">
        <f>D339+12</f>
        <v>66</v>
      </c>
      <c r="E340">
        <v>0.25</v>
      </c>
      <c r="H340" s="8"/>
      <c r="I340" s="6"/>
      <c r="J340" s="6"/>
      <c r="K340" s="17"/>
    </row>
    <row r="341" spans="1:12" x14ac:dyDescent="0.25">
      <c r="A341" s="8" t="s">
        <v>48</v>
      </c>
      <c r="B341" s="6" t="s">
        <v>9</v>
      </c>
      <c r="C341" s="6">
        <v>3</v>
      </c>
      <c r="D341" s="17">
        <f>D340+12</f>
        <v>78</v>
      </c>
      <c r="E341">
        <v>0.23</v>
      </c>
      <c r="H341" s="8"/>
      <c r="I341" s="6"/>
      <c r="J341" s="6"/>
      <c r="K341" s="17"/>
    </row>
    <row r="342" spans="1:12" x14ac:dyDescent="0.25">
      <c r="A342" s="8" t="s">
        <v>48</v>
      </c>
      <c r="B342" s="6" t="s">
        <v>9</v>
      </c>
      <c r="C342" s="6">
        <v>3</v>
      </c>
      <c r="D342" s="17">
        <f>D341+12</f>
        <v>90</v>
      </c>
      <c r="E342">
        <v>0.2</v>
      </c>
      <c r="H342" s="8"/>
      <c r="I342" s="6"/>
      <c r="J342" s="6"/>
      <c r="K342" s="17"/>
    </row>
    <row r="343" spans="1:12" x14ac:dyDescent="0.25">
      <c r="A343" s="8" t="s">
        <v>48</v>
      </c>
      <c r="B343" s="6" t="s">
        <v>9</v>
      </c>
      <c r="C343" s="6">
        <v>3</v>
      </c>
      <c r="D343" s="17">
        <v>162</v>
      </c>
      <c r="E343">
        <v>1.62</v>
      </c>
      <c r="H343" s="8"/>
      <c r="I343" s="6"/>
      <c r="J343" s="6"/>
      <c r="K343" s="17"/>
    </row>
    <row r="344" spans="1:12" x14ac:dyDescent="0.25">
      <c r="A344" s="8" t="s">
        <v>49</v>
      </c>
      <c r="B344" s="6" t="s">
        <v>9</v>
      </c>
      <c r="C344" s="6">
        <v>1</v>
      </c>
      <c r="D344">
        <v>0</v>
      </c>
      <c r="E344">
        <v>0.2</v>
      </c>
      <c r="H344" s="8"/>
      <c r="I344" s="6"/>
      <c r="J344" s="6"/>
    </row>
    <row r="345" spans="1:12" x14ac:dyDescent="0.25">
      <c r="A345" s="8" t="s">
        <v>49</v>
      </c>
      <c r="B345" s="6" t="s">
        <v>9</v>
      </c>
      <c r="C345" s="6">
        <v>1</v>
      </c>
      <c r="D345" s="17">
        <v>18</v>
      </c>
      <c r="E345" s="11">
        <v>0.15</v>
      </c>
      <c r="H345" s="8"/>
      <c r="I345" s="6"/>
      <c r="J345" s="6"/>
      <c r="K345" s="17"/>
      <c r="L345" s="11"/>
    </row>
    <row r="346" spans="1:12" x14ac:dyDescent="0.25">
      <c r="A346" s="8" t="s">
        <v>49</v>
      </c>
      <c r="B346" s="6" t="s">
        <v>9</v>
      </c>
      <c r="C346" s="6">
        <v>1</v>
      </c>
      <c r="D346" s="17">
        <f>D345+12</f>
        <v>30</v>
      </c>
      <c r="E346">
        <v>0.15</v>
      </c>
      <c r="H346" s="8"/>
      <c r="I346" s="6"/>
      <c r="J346" s="6"/>
      <c r="K346" s="17"/>
    </row>
    <row r="347" spans="1:12" x14ac:dyDescent="0.25">
      <c r="A347" s="8" t="s">
        <v>49</v>
      </c>
      <c r="B347" s="6" t="s">
        <v>9</v>
      </c>
      <c r="C347" s="6">
        <v>1</v>
      </c>
      <c r="D347" s="17">
        <f>D346+12</f>
        <v>42</v>
      </c>
      <c r="E347">
        <v>0.17</v>
      </c>
      <c r="H347" s="8"/>
      <c r="I347" s="6"/>
      <c r="J347" s="6"/>
      <c r="K347" s="17"/>
    </row>
    <row r="348" spans="1:12" x14ac:dyDescent="0.25">
      <c r="A348" s="8" t="s">
        <v>49</v>
      </c>
      <c r="B348" s="6" t="s">
        <v>9</v>
      </c>
      <c r="C348" s="6">
        <v>1</v>
      </c>
      <c r="D348" s="17">
        <f>D347+12</f>
        <v>54</v>
      </c>
      <c r="E348">
        <v>0.18</v>
      </c>
      <c r="H348" s="8"/>
      <c r="I348" s="6"/>
      <c r="J348" s="6"/>
      <c r="K348" s="17"/>
    </row>
    <row r="349" spans="1:12" x14ac:dyDescent="0.25">
      <c r="A349" s="8" t="s">
        <v>49</v>
      </c>
      <c r="B349" s="6" t="s">
        <v>9</v>
      </c>
      <c r="C349" s="6">
        <v>1</v>
      </c>
      <c r="D349" s="17">
        <f>D348+12</f>
        <v>66</v>
      </c>
      <c r="E349">
        <v>0.36</v>
      </c>
      <c r="H349" s="8"/>
      <c r="I349" s="6"/>
      <c r="J349" s="6"/>
      <c r="K349" s="17"/>
    </row>
    <row r="350" spans="1:12" x14ac:dyDescent="0.25">
      <c r="A350" s="8" t="s">
        <v>49</v>
      </c>
      <c r="B350" s="6" t="s">
        <v>9</v>
      </c>
      <c r="C350" s="6">
        <v>1</v>
      </c>
      <c r="D350" s="17">
        <f>D349+12</f>
        <v>78</v>
      </c>
      <c r="E350">
        <v>0.2</v>
      </c>
      <c r="H350" s="8"/>
      <c r="I350" s="6"/>
      <c r="J350" s="6"/>
      <c r="K350" s="17"/>
    </row>
    <row r="351" spans="1:12" x14ac:dyDescent="0.25">
      <c r="A351" s="8" t="s">
        <v>49</v>
      </c>
      <c r="B351" s="6" t="s">
        <v>9</v>
      </c>
      <c r="C351" s="6">
        <v>1</v>
      </c>
      <c r="D351" s="17">
        <f>D350+12</f>
        <v>90</v>
      </c>
      <c r="E351">
        <v>0.51</v>
      </c>
      <c r="H351" s="8"/>
      <c r="I351" s="6"/>
      <c r="J351" s="6"/>
      <c r="K351" s="17"/>
    </row>
    <row r="352" spans="1:12" x14ac:dyDescent="0.25">
      <c r="A352" s="8" t="s">
        <v>49</v>
      </c>
      <c r="B352" s="6" t="s">
        <v>9</v>
      </c>
      <c r="C352" s="6">
        <v>1</v>
      </c>
      <c r="D352" s="17">
        <v>162</v>
      </c>
      <c r="E352">
        <v>1.91</v>
      </c>
      <c r="H352" s="8"/>
      <c r="I352" s="6"/>
      <c r="J352" s="6"/>
      <c r="K352" s="17"/>
    </row>
    <row r="353" spans="1:12" x14ac:dyDescent="0.25">
      <c r="A353" s="8" t="s">
        <v>49</v>
      </c>
      <c r="B353" s="6" t="s">
        <v>9</v>
      </c>
      <c r="C353" s="6">
        <v>2</v>
      </c>
      <c r="D353">
        <v>0</v>
      </c>
      <c r="E353">
        <v>0.2</v>
      </c>
      <c r="H353" s="8"/>
      <c r="I353" s="6"/>
      <c r="J353" s="6"/>
    </row>
    <row r="354" spans="1:12" x14ac:dyDescent="0.25">
      <c r="A354" s="8" t="s">
        <v>49</v>
      </c>
      <c r="B354" s="6" t="s">
        <v>9</v>
      </c>
      <c r="C354" s="6">
        <v>2</v>
      </c>
      <c r="D354" s="17">
        <v>18</v>
      </c>
      <c r="E354" s="11">
        <v>0.18</v>
      </c>
      <c r="H354" s="8"/>
      <c r="I354" s="6"/>
      <c r="J354" s="6"/>
      <c r="K354" s="17"/>
      <c r="L354" s="11"/>
    </row>
    <row r="355" spans="1:12" x14ac:dyDescent="0.25">
      <c r="A355" s="8" t="s">
        <v>49</v>
      </c>
      <c r="B355" s="6" t="s">
        <v>9</v>
      </c>
      <c r="C355" s="6">
        <v>2</v>
      </c>
      <c r="D355" s="17">
        <f>D354+12</f>
        <v>30</v>
      </c>
      <c r="E355">
        <v>0.15</v>
      </c>
      <c r="H355" s="8"/>
      <c r="I355" s="6"/>
      <c r="J355" s="6"/>
      <c r="K355" s="17"/>
    </row>
    <row r="356" spans="1:12" x14ac:dyDescent="0.25">
      <c r="A356" s="8" t="s">
        <v>49</v>
      </c>
      <c r="B356" s="6" t="s">
        <v>9</v>
      </c>
      <c r="C356" s="6">
        <v>2</v>
      </c>
      <c r="D356" s="17">
        <f>D355+12</f>
        <v>42</v>
      </c>
      <c r="E356">
        <v>0.17</v>
      </c>
      <c r="H356" s="8"/>
      <c r="I356" s="6"/>
      <c r="J356" s="6"/>
      <c r="K356" s="17"/>
    </row>
    <row r="357" spans="1:12" x14ac:dyDescent="0.25">
      <c r="A357" s="8" t="s">
        <v>49</v>
      </c>
      <c r="B357" s="6" t="s">
        <v>9</v>
      </c>
      <c r="C357" s="6">
        <v>2</v>
      </c>
      <c r="D357" s="17">
        <f>D356+12</f>
        <v>54</v>
      </c>
      <c r="E357">
        <v>0.18</v>
      </c>
      <c r="H357" s="8"/>
      <c r="I357" s="6"/>
      <c r="J357" s="6"/>
      <c r="K357" s="17"/>
    </row>
    <row r="358" spans="1:12" x14ac:dyDescent="0.25">
      <c r="A358" s="8" t="s">
        <v>49</v>
      </c>
      <c r="B358" s="6" t="s">
        <v>9</v>
      </c>
      <c r="C358" s="6">
        <v>2</v>
      </c>
      <c r="D358" s="17">
        <f>D357+12</f>
        <v>66</v>
      </c>
      <c r="E358">
        <v>0.36</v>
      </c>
      <c r="H358" s="8"/>
      <c r="I358" s="6"/>
      <c r="J358" s="6"/>
      <c r="K358" s="17"/>
    </row>
    <row r="359" spans="1:12" x14ac:dyDescent="0.25">
      <c r="A359" s="8" t="s">
        <v>49</v>
      </c>
      <c r="B359" s="6" t="s">
        <v>9</v>
      </c>
      <c r="C359" s="6">
        <v>2</v>
      </c>
      <c r="D359" s="17">
        <f>D358+12</f>
        <v>78</v>
      </c>
      <c r="E359">
        <v>0.11</v>
      </c>
      <c r="H359" s="8"/>
      <c r="I359" s="6"/>
      <c r="J359" s="6"/>
      <c r="K359" s="17"/>
    </row>
    <row r="360" spans="1:12" x14ac:dyDescent="0.25">
      <c r="A360" s="8" t="s">
        <v>49</v>
      </c>
      <c r="B360" s="6" t="s">
        <v>9</v>
      </c>
      <c r="C360" s="6">
        <v>2</v>
      </c>
      <c r="D360" s="17">
        <f>D359+12</f>
        <v>90</v>
      </c>
      <c r="E360">
        <v>0.57999999999999996</v>
      </c>
      <c r="H360" s="8"/>
      <c r="I360" s="6"/>
      <c r="J360" s="6"/>
      <c r="K360" s="17"/>
    </row>
    <row r="361" spans="1:12" x14ac:dyDescent="0.25">
      <c r="A361" s="8" t="s">
        <v>49</v>
      </c>
      <c r="B361" s="6" t="s">
        <v>9</v>
      </c>
      <c r="C361" s="6">
        <v>2</v>
      </c>
      <c r="D361" s="17">
        <v>162</v>
      </c>
      <c r="E361">
        <v>2.04</v>
      </c>
      <c r="H361" s="8"/>
      <c r="I361" s="6"/>
      <c r="J361" s="6"/>
      <c r="K361" s="17"/>
    </row>
    <row r="362" spans="1:12" x14ac:dyDescent="0.25">
      <c r="A362" s="8" t="s">
        <v>49</v>
      </c>
      <c r="B362" s="6" t="s">
        <v>9</v>
      </c>
      <c r="C362" s="6">
        <v>3</v>
      </c>
      <c r="D362">
        <v>0</v>
      </c>
      <c r="E362">
        <v>0.2</v>
      </c>
      <c r="H362" s="8"/>
      <c r="I362" s="6"/>
      <c r="J362" s="6"/>
    </row>
    <row r="363" spans="1:12" x14ac:dyDescent="0.25">
      <c r="A363" s="8" t="s">
        <v>49</v>
      </c>
      <c r="B363" s="6" t="s">
        <v>9</v>
      </c>
      <c r="C363" s="6">
        <v>3</v>
      </c>
      <c r="D363" s="17">
        <v>18</v>
      </c>
      <c r="E363" s="11">
        <v>0.16</v>
      </c>
      <c r="H363" s="8"/>
      <c r="I363" s="6"/>
      <c r="J363" s="6"/>
      <c r="K363" s="17"/>
      <c r="L363" s="11"/>
    </row>
    <row r="364" spans="1:12" x14ac:dyDescent="0.25">
      <c r="A364" s="8" t="s">
        <v>49</v>
      </c>
      <c r="B364" s="6" t="s">
        <v>9</v>
      </c>
      <c r="C364" s="6">
        <v>3</v>
      </c>
      <c r="D364" s="17">
        <f>D363+12</f>
        <v>30</v>
      </c>
      <c r="E364">
        <v>0.17</v>
      </c>
      <c r="H364" s="8"/>
      <c r="I364" s="6"/>
      <c r="J364" s="6"/>
      <c r="K364" s="17"/>
    </row>
    <row r="365" spans="1:12" x14ac:dyDescent="0.25">
      <c r="A365" s="8" t="s">
        <v>49</v>
      </c>
      <c r="B365" s="6" t="s">
        <v>9</v>
      </c>
      <c r="C365" s="6">
        <v>3</v>
      </c>
      <c r="D365" s="17">
        <f>D364+12</f>
        <v>42</v>
      </c>
      <c r="E365">
        <v>0.22</v>
      </c>
      <c r="H365" s="8"/>
      <c r="I365" s="6"/>
      <c r="J365" s="6"/>
      <c r="K365" s="17"/>
    </row>
    <row r="366" spans="1:12" x14ac:dyDescent="0.25">
      <c r="A366" s="8" t="s">
        <v>49</v>
      </c>
      <c r="B366" s="6" t="s">
        <v>9</v>
      </c>
      <c r="C366" s="6">
        <v>3</v>
      </c>
      <c r="D366" s="17">
        <f>D365+12</f>
        <v>54</v>
      </c>
      <c r="E366">
        <v>0.18</v>
      </c>
      <c r="H366" s="8"/>
      <c r="I366" s="6"/>
      <c r="J366" s="6"/>
      <c r="K366" s="17"/>
    </row>
    <row r="367" spans="1:12" x14ac:dyDescent="0.25">
      <c r="A367" s="8" t="s">
        <v>49</v>
      </c>
      <c r="B367" s="6" t="s">
        <v>9</v>
      </c>
      <c r="C367" s="6">
        <v>3</v>
      </c>
      <c r="D367" s="17">
        <f>D366+12</f>
        <v>66</v>
      </c>
      <c r="E367">
        <v>0.27</v>
      </c>
      <c r="H367" s="8"/>
      <c r="I367" s="6"/>
      <c r="J367" s="6"/>
      <c r="K367" s="17"/>
    </row>
    <row r="368" spans="1:12" x14ac:dyDescent="0.25">
      <c r="A368" s="8" t="s">
        <v>49</v>
      </c>
      <c r="B368" s="6" t="s">
        <v>9</v>
      </c>
      <c r="C368" s="6">
        <v>3</v>
      </c>
      <c r="D368" s="17">
        <f>D367+12</f>
        <v>78</v>
      </c>
      <c r="E368">
        <v>0.17</v>
      </c>
      <c r="H368" s="8"/>
      <c r="I368" s="6"/>
      <c r="J368" s="6"/>
      <c r="K368" s="17"/>
    </row>
    <row r="369" spans="1:12" x14ac:dyDescent="0.25">
      <c r="A369" s="8" t="s">
        <v>49</v>
      </c>
      <c r="B369" s="6" t="s">
        <v>9</v>
      </c>
      <c r="C369" s="6">
        <v>3</v>
      </c>
      <c r="D369" s="17">
        <f>D368+12</f>
        <v>90</v>
      </c>
      <c r="E369">
        <v>0.62</v>
      </c>
      <c r="H369" s="8"/>
      <c r="I369" s="6"/>
      <c r="J369" s="6"/>
      <c r="K369" s="17"/>
    </row>
    <row r="370" spans="1:12" x14ac:dyDescent="0.25">
      <c r="A370" s="8" t="s">
        <v>49</v>
      </c>
      <c r="B370" s="6" t="s">
        <v>9</v>
      </c>
      <c r="C370" s="6">
        <v>3</v>
      </c>
      <c r="D370" s="17">
        <v>162</v>
      </c>
      <c r="E370">
        <v>1.88</v>
      </c>
      <c r="H370" s="8"/>
      <c r="I370" s="6"/>
      <c r="J370" s="6"/>
      <c r="K370" s="17"/>
    </row>
    <row r="371" spans="1:12" x14ac:dyDescent="0.25">
      <c r="A371" s="8" t="s">
        <v>50</v>
      </c>
      <c r="B371" s="6" t="s">
        <v>9</v>
      </c>
      <c r="C371" s="6">
        <v>1</v>
      </c>
      <c r="D371">
        <v>0</v>
      </c>
      <c r="E371">
        <v>0.2</v>
      </c>
      <c r="H371" s="8"/>
      <c r="I371" s="6"/>
      <c r="J371" s="6"/>
    </row>
    <row r="372" spans="1:12" x14ac:dyDescent="0.25">
      <c r="A372" s="8" t="s">
        <v>50</v>
      </c>
      <c r="B372" s="6" t="s">
        <v>9</v>
      </c>
      <c r="C372" s="6">
        <v>1</v>
      </c>
      <c r="D372" s="17">
        <v>18</v>
      </c>
      <c r="E372" s="11">
        <v>0.19</v>
      </c>
      <c r="H372" s="8"/>
      <c r="I372" s="6"/>
      <c r="J372" s="6"/>
      <c r="K372" s="17"/>
      <c r="L372" s="11"/>
    </row>
    <row r="373" spans="1:12" x14ac:dyDescent="0.25">
      <c r="A373" s="8" t="s">
        <v>50</v>
      </c>
      <c r="B373" s="6" t="s">
        <v>9</v>
      </c>
      <c r="C373" s="6">
        <v>1</v>
      </c>
      <c r="D373" s="17">
        <f>D372+12</f>
        <v>30</v>
      </c>
      <c r="E373">
        <v>0.13</v>
      </c>
      <c r="H373" s="8"/>
      <c r="I373" s="6"/>
      <c r="J373" s="6"/>
      <c r="K373" s="17"/>
    </row>
    <row r="374" spans="1:12" x14ac:dyDescent="0.25">
      <c r="A374" s="8" t="s">
        <v>50</v>
      </c>
      <c r="B374" s="6" t="s">
        <v>9</v>
      </c>
      <c r="C374" s="6">
        <v>1</v>
      </c>
      <c r="D374" s="17">
        <f>D373+12</f>
        <v>42</v>
      </c>
      <c r="E374">
        <v>0.23</v>
      </c>
      <c r="H374" s="8"/>
      <c r="I374" s="6"/>
      <c r="J374" s="6"/>
      <c r="K374" s="17"/>
    </row>
    <row r="375" spans="1:12" x14ac:dyDescent="0.25">
      <c r="A375" s="8" t="s">
        <v>50</v>
      </c>
      <c r="B375" s="6" t="s">
        <v>9</v>
      </c>
      <c r="C375" s="6">
        <v>1</v>
      </c>
      <c r="D375" s="17">
        <f>D374+12</f>
        <v>54</v>
      </c>
      <c r="E375">
        <v>0.34</v>
      </c>
      <c r="H375" s="8"/>
      <c r="I375" s="6"/>
      <c r="J375" s="6"/>
      <c r="K375" s="17"/>
    </row>
    <row r="376" spans="1:12" x14ac:dyDescent="0.25">
      <c r="A376" s="8" t="s">
        <v>50</v>
      </c>
      <c r="B376" s="6" t="s">
        <v>9</v>
      </c>
      <c r="C376" s="6">
        <v>1</v>
      </c>
      <c r="D376" s="17">
        <f>D375+12</f>
        <v>66</v>
      </c>
      <c r="E376">
        <v>0.36</v>
      </c>
      <c r="H376" s="8"/>
      <c r="I376" s="6"/>
      <c r="J376" s="6"/>
      <c r="K376" s="17"/>
    </row>
    <row r="377" spans="1:12" x14ac:dyDescent="0.25">
      <c r="A377" s="8" t="s">
        <v>50</v>
      </c>
      <c r="B377" s="6" t="s">
        <v>9</v>
      </c>
      <c r="C377" s="6">
        <v>1</v>
      </c>
      <c r="D377" s="17">
        <f>D376+12</f>
        <v>78</v>
      </c>
      <c r="E377">
        <v>0.57999999999999996</v>
      </c>
      <c r="H377" s="8"/>
      <c r="I377" s="6"/>
      <c r="J377" s="6"/>
      <c r="K377" s="17"/>
    </row>
    <row r="378" spans="1:12" x14ac:dyDescent="0.25">
      <c r="A378" s="8" t="s">
        <v>50</v>
      </c>
      <c r="B378" s="6" t="s">
        <v>9</v>
      </c>
      <c r="C378" s="6">
        <v>1</v>
      </c>
      <c r="D378" s="17">
        <f>D377+12</f>
        <v>90</v>
      </c>
      <c r="E378">
        <v>1.1100000000000001</v>
      </c>
      <c r="H378" s="8"/>
      <c r="I378" s="6"/>
      <c r="J378" s="6"/>
      <c r="K378" s="17"/>
    </row>
    <row r="379" spans="1:12" x14ac:dyDescent="0.25">
      <c r="A379" s="8" t="s">
        <v>50</v>
      </c>
      <c r="B379" s="6" t="s">
        <v>9</v>
      </c>
      <c r="C379" s="6">
        <v>1</v>
      </c>
      <c r="D379" s="17">
        <v>162</v>
      </c>
      <c r="E379">
        <v>2.76</v>
      </c>
      <c r="H379" s="8"/>
      <c r="I379" s="6"/>
      <c r="J379" s="6"/>
      <c r="K379" s="17"/>
    </row>
    <row r="380" spans="1:12" x14ac:dyDescent="0.25">
      <c r="A380" s="8" t="s">
        <v>50</v>
      </c>
      <c r="B380" s="6" t="s">
        <v>9</v>
      </c>
      <c r="C380" s="6">
        <v>2</v>
      </c>
      <c r="D380">
        <v>0</v>
      </c>
      <c r="E380">
        <v>0.2</v>
      </c>
      <c r="H380" s="8"/>
      <c r="I380" s="6"/>
      <c r="J380" s="6"/>
    </row>
    <row r="381" spans="1:12" x14ac:dyDescent="0.25">
      <c r="A381" s="8" t="s">
        <v>50</v>
      </c>
      <c r="B381" s="6" t="s">
        <v>9</v>
      </c>
      <c r="C381" s="6">
        <v>2</v>
      </c>
      <c r="D381" s="17">
        <v>18</v>
      </c>
      <c r="E381" s="11">
        <v>0.13</v>
      </c>
      <c r="H381" s="8"/>
      <c r="I381" s="6"/>
      <c r="J381" s="6"/>
      <c r="K381" s="17"/>
      <c r="L381" s="11"/>
    </row>
    <row r="382" spans="1:12" x14ac:dyDescent="0.25">
      <c r="A382" s="8" t="s">
        <v>50</v>
      </c>
      <c r="B382" s="6" t="s">
        <v>9</v>
      </c>
      <c r="C382" s="6">
        <v>2</v>
      </c>
      <c r="D382" s="17">
        <f>D381+12</f>
        <v>30</v>
      </c>
      <c r="E382">
        <v>0.14000000000000001</v>
      </c>
      <c r="H382" s="8"/>
      <c r="I382" s="6"/>
      <c r="J382" s="6"/>
      <c r="K382" s="17"/>
    </row>
    <row r="383" spans="1:12" x14ac:dyDescent="0.25">
      <c r="A383" s="8" t="s">
        <v>50</v>
      </c>
      <c r="B383" s="6" t="s">
        <v>9</v>
      </c>
      <c r="C383" s="6">
        <v>2</v>
      </c>
      <c r="D383" s="17">
        <f>D382+12</f>
        <v>42</v>
      </c>
      <c r="E383">
        <v>0.2</v>
      </c>
      <c r="H383" s="8"/>
      <c r="I383" s="6"/>
      <c r="J383" s="6"/>
      <c r="K383" s="17"/>
    </row>
    <row r="384" spans="1:12" x14ac:dyDescent="0.25">
      <c r="A384" s="8" t="s">
        <v>50</v>
      </c>
      <c r="B384" s="6" t="s">
        <v>9</v>
      </c>
      <c r="C384" s="6">
        <v>2</v>
      </c>
      <c r="D384" s="17">
        <f>D383+12</f>
        <v>54</v>
      </c>
      <c r="E384">
        <v>0.28000000000000003</v>
      </c>
      <c r="H384" s="8"/>
      <c r="I384" s="6"/>
      <c r="J384" s="6"/>
      <c r="K384" s="17"/>
    </row>
    <row r="385" spans="1:12" x14ac:dyDescent="0.25">
      <c r="A385" s="8" t="s">
        <v>50</v>
      </c>
      <c r="B385" s="6" t="s">
        <v>9</v>
      </c>
      <c r="C385" s="6">
        <v>2</v>
      </c>
      <c r="D385" s="17">
        <f>D384+12</f>
        <v>66</v>
      </c>
      <c r="E385">
        <v>0.39</v>
      </c>
      <c r="H385" s="8"/>
      <c r="I385" s="6"/>
      <c r="J385" s="6"/>
      <c r="K385" s="17"/>
    </row>
    <row r="386" spans="1:12" x14ac:dyDescent="0.25">
      <c r="A386" s="8" t="s">
        <v>50</v>
      </c>
      <c r="B386" s="6" t="s">
        <v>9</v>
      </c>
      <c r="C386" s="6">
        <v>2</v>
      </c>
      <c r="D386" s="17">
        <f>D385+12</f>
        <v>78</v>
      </c>
      <c r="E386">
        <v>0.55000000000000004</v>
      </c>
      <c r="H386" s="8"/>
      <c r="I386" s="6"/>
      <c r="J386" s="6"/>
      <c r="K386" s="17"/>
    </row>
    <row r="387" spans="1:12" x14ac:dyDescent="0.25">
      <c r="A387" s="8" t="s">
        <v>50</v>
      </c>
      <c r="B387" s="6" t="s">
        <v>9</v>
      </c>
      <c r="C387" s="6">
        <v>2</v>
      </c>
      <c r="D387" s="17">
        <f>D386+12</f>
        <v>90</v>
      </c>
      <c r="E387">
        <v>1.08</v>
      </c>
      <c r="H387" s="8"/>
      <c r="I387" s="6"/>
      <c r="J387" s="6"/>
      <c r="K387" s="17"/>
    </row>
    <row r="388" spans="1:12" x14ac:dyDescent="0.25">
      <c r="A388" s="8" t="s">
        <v>50</v>
      </c>
      <c r="B388" s="6" t="s">
        <v>9</v>
      </c>
      <c r="C388" s="6">
        <v>2</v>
      </c>
      <c r="D388" s="17">
        <v>162</v>
      </c>
      <c r="E388">
        <v>2.68</v>
      </c>
      <c r="H388" s="8"/>
      <c r="I388" s="6"/>
      <c r="J388" s="6"/>
      <c r="K388" s="17"/>
    </row>
    <row r="389" spans="1:12" x14ac:dyDescent="0.25">
      <c r="A389" s="8" t="s">
        <v>50</v>
      </c>
      <c r="B389" s="6" t="s">
        <v>9</v>
      </c>
      <c r="C389" s="6">
        <v>3</v>
      </c>
      <c r="D389">
        <v>0</v>
      </c>
      <c r="E389">
        <v>0.2</v>
      </c>
      <c r="H389" s="8"/>
      <c r="I389" s="6"/>
      <c r="J389" s="6"/>
    </row>
    <row r="390" spans="1:12" x14ac:dyDescent="0.25">
      <c r="A390" s="8" t="s">
        <v>50</v>
      </c>
      <c r="B390" s="6" t="s">
        <v>9</v>
      </c>
      <c r="C390" s="6">
        <v>3</v>
      </c>
      <c r="D390" s="17">
        <v>18</v>
      </c>
      <c r="E390" s="11">
        <v>0.14000000000000001</v>
      </c>
      <c r="H390" s="8"/>
      <c r="I390" s="6"/>
      <c r="J390" s="6"/>
      <c r="K390" s="17"/>
      <c r="L390" s="11"/>
    </row>
    <row r="391" spans="1:12" x14ac:dyDescent="0.25">
      <c r="A391" s="8" t="s">
        <v>50</v>
      </c>
      <c r="B391" s="6" t="s">
        <v>9</v>
      </c>
      <c r="C391" s="6">
        <v>3</v>
      </c>
      <c r="D391" s="17">
        <f>D390+12</f>
        <v>30</v>
      </c>
      <c r="E391">
        <v>0.12</v>
      </c>
      <c r="H391" s="8"/>
      <c r="I391" s="6"/>
      <c r="J391" s="6"/>
      <c r="K391" s="17"/>
    </row>
    <row r="392" spans="1:12" x14ac:dyDescent="0.25">
      <c r="A392" s="8" t="s">
        <v>50</v>
      </c>
      <c r="B392" s="6" t="s">
        <v>9</v>
      </c>
      <c r="C392" s="6">
        <v>3</v>
      </c>
      <c r="D392" s="17">
        <f>D391+12</f>
        <v>42</v>
      </c>
      <c r="E392">
        <v>0.22</v>
      </c>
      <c r="H392" s="8"/>
      <c r="I392" s="6"/>
      <c r="J392" s="6"/>
      <c r="K392" s="17"/>
    </row>
    <row r="393" spans="1:12" x14ac:dyDescent="0.25">
      <c r="A393" s="8" t="s">
        <v>50</v>
      </c>
      <c r="B393" s="6" t="s">
        <v>9</v>
      </c>
      <c r="C393" s="6">
        <v>3</v>
      </c>
      <c r="D393" s="17">
        <f>D392+12</f>
        <v>54</v>
      </c>
      <c r="E393">
        <v>0.33</v>
      </c>
      <c r="H393" s="8"/>
      <c r="I393" s="6"/>
      <c r="J393" s="6"/>
      <c r="K393" s="17"/>
    </row>
    <row r="394" spans="1:12" x14ac:dyDescent="0.25">
      <c r="A394" s="8" t="s">
        <v>50</v>
      </c>
      <c r="B394" s="6" t="s">
        <v>9</v>
      </c>
      <c r="C394" s="6">
        <v>3</v>
      </c>
      <c r="D394" s="17">
        <f>D393+12</f>
        <v>66</v>
      </c>
      <c r="E394">
        <v>0.44</v>
      </c>
      <c r="H394" s="8"/>
      <c r="I394" s="6"/>
      <c r="J394" s="6"/>
      <c r="K394" s="17"/>
    </row>
    <row r="395" spans="1:12" x14ac:dyDescent="0.25">
      <c r="A395" s="8" t="s">
        <v>50</v>
      </c>
      <c r="B395" s="6" t="s">
        <v>9</v>
      </c>
      <c r="C395" s="6">
        <v>3</v>
      </c>
      <c r="D395" s="17">
        <f>D394+12</f>
        <v>78</v>
      </c>
      <c r="E395">
        <v>0.56000000000000005</v>
      </c>
      <c r="H395" s="8"/>
      <c r="I395" s="6"/>
      <c r="J395" s="6"/>
      <c r="K395" s="17"/>
    </row>
    <row r="396" spans="1:12" x14ac:dyDescent="0.25">
      <c r="A396" s="8" t="s">
        <v>50</v>
      </c>
      <c r="B396" s="6" t="s">
        <v>9</v>
      </c>
      <c r="C396" s="6">
        <v>3</v>
      </c>
      <c r="D396" s="17">
        <f>D395+12</f>
        <v>90</v>
      </c>
      <c r="E396">
        <v>1</v>
      </c>
      <c r="H396" s="8"/>
      <c r="I396" s="6"/>
      <c r="J396" s="6"/>
      <c r="K396" s="17"/>
    </row>
    <row r="397" spans="1:12" x14ac:dyDescent="0.25">
      <c r="A397" s="8" t="s">
        <v>50</v>
      </c>
      <c r="B397" s="6" t="s">
        <v>9</v>
      </c>
      <c r="C397" s="6">
        <v>3</v>
      </c>
      <c r="D397" s="17">
        <v>162</v>
      </c>
      <c r="E397">
        <v>2.83</v>
      </c>
      <c r="H397" s="8"/>
      <c r="I397" s="6"/>
      <c r="J397" s="6"/>
      <c r="K397" s="17"/>
    </row>
  </sheetData>
  <autoFilter ref="A1:E67" xr:uid="{669792A2-A34A-4A4C-A612-D963EF296CFD}"/>
  <mergeCells count="11">
    <mergeCell ref="AB22:AD22"/>
    <mergeCell ref="AF22:AH22"/>
    <mergeCell ref="S316:U316"/>
    <mergeCell ref="W316:Y316"/>
    <mergeCell ref="AA316:AC316"/>
    <mergeCell ref="P2:R2"/>
    <mergeCell ref="T2:V2"/>
    <mergeCell ref="X2:Z2"/>
    <mergeCell ref="P22:R22"/>
    <mergeCell ref="T22:V22"/>
    <mergeCell ref="X22:Z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Stats</vt:lpstr>
      <vt:lpstr>Longitudinal_Data</vt:lpstr>
      <vt:lpstr>Longitudinal_Data_KD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Kathol</dc:creator>
  <cp:lastModifiedBy>Abraham Osinuga</cp:lastModifiedBy>
  <dcterms:created xsi:type="dcterms:W3CDTF">2025-09-12T00:32:46Z</dcterms:created>
  <dcterms:modified xsi:type="dcterms:W3CDTF">2025-10-20T22:07:46Z</dcterms:modified>
</cp:coreProperties>
</file>